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Usuario\Documents\MARTEZA\PLANTILLAS COTIZACIONES\"/>
    </mc:Choice>
  </mc:AlternateContent>
  <bookViews>
    <workbookView xWindow="0" yWindow="0" windowWidth="7470" windowHeight="4545" activeTab="1"/>
  </bookViews>
  <sheets>
    <sheet name="HOJA DE PRECIOS " sheetId="1" r:id="rId1"/>
    <sheet name="CABECERA" sheetId="6" r:id="rId2"/>
    <sheet name="COTIZACIÓN" sheetId="3" r:id="rId3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4" i="6" l="1"/>
  <c r="E23" i="6"/>
  <c r="E22" i="6"/>
  <c r="E19" i="6"/>
  <c r="E12" i="6"/>
  <c r="E13" i="6"/>
  <c r="E14" i="6"/>
  <c r="E15" i="6"/>
  <c r="E11" i="6"/>
  <c r="E30" i="6"/>
  <c r="E29" i="6"/>
  <c r="E31" i="6" s="1"/>
  <c r="E18" i="6"/>
  <c r="E17" i="6"/>
  <c r="E16" i="6"/>
  <c r="L19" i="6"/>
  <c r="E6" i="6"/>
  <c r="E7" i="6" s="1"/>
  <c r="E25" i="6" l="1"/>
  <c r="E34" i="6" s="1"/>
  <c r="E37" i="6" l="1"/>
  <c r="E39" i="6"/>
  <c r="E35" i="6"/>
  <c r="E36" i="6" s="1"/>
  <c r="E42" i="6" l="1"/>
  <c r="E38" i="6"/>
  <c r="E40" i="6" s="1"/>
  <c r="E41" i="6" s="1"/>
  <c r="E43" i="6"/>
  <c r="E44" i="6" s="1"/>
</calcChain>
</file>

<file path=xl/sharedStrings.xml><?xml version="1.0" encoding="utf-8"?>
<sst xmlns="http://schemas.openxmlformats.org/spreadsheetml/2006/main" count="753" uniqueCount="201">
  <si>
    <t xml:space="preserve">MATERIALES PARA COTIZAR </t>
  </si>
  <si>
    <t xml:space="preserve">MADERA </t>
  </si>
  <si>
    <t xml:space="preserve">Clase </t>
  </si>
  <si>
    <t>TZALAM</t>
  </si>
  <si>
    <t>NOGAL TROPICAL</t>
  </si>
  <si>
    <t>NOGAL AMERICANO</t>
  </si>
  <si>
    <t>ENCINO</t>
  </si>
  <si>
    <t>YELLOW POPLAR</t>
  </si>
  <si>
    <t>FRESNO</t>
  </si>
  <si>
    <t>PAROTA</t>
  </si>
  <si>
    <t xml:space="preserve">PINO </t>
  </si>
  <si>
    <t xml:space="preserve">TECA </t>
  </si>
  <si>
    <t xml:space="preserve">MAPLE </t>
  </si>
  <si>
    <t xml:space="preserve">ROSA MORADA </t>
  </si>
  <si>
    <t xml:space="preserve">PROVEDOR </t>
  </si>
  <si>
    <t xml:space="preserve">TEDIMA </t>
  </si>
  <si>
    <t xml:space="preserve">MADERERÍA SANTA FE </t>
  </si>
  <si>
    <t>MASISA</t>
  </si>
  <si>
    <t>TRIPLAY</t>
  </si>
  <si>
    <t xml:space="preserve">TABLEROS </t>
  </si>
  <si>
    <t>TZALAM TPLY</t>
  </si>
  <si>
    <t>NOGAL  TPLY</t>
  </si>
  <si>
    <t>PINO TPLY</t>
  </si>
  <si>
    <t>ENCINO TPLY</t>
  </si>
  <si>
    <t>NOGAL TPLY</t>
  </si>
  <si>
    <t>PAROTA TPLY</t>
  </si>
  <si>
    <t>MAPLE TPLY</t>
  </si>
  <si>
    <t>CAOBILLA TPLY</t>
  </si>
  <si>
    <t xml:space="preserve"> TRIPLAY SOLUCIONES </t>
  </si>
  <si>
    <t xml:space="preserve">TRIPLAY SOLUCIONES </t>
  </si>
  <si>
    <t>BARCOCINAS</t>
  </si>
  <si>
    <t xml:space="preserve">MDF </t>
  </si>
  <si>
    <t>ENCINO MDF</t>
  </si>
  <si>
    <t>NOGAL MDF</t>
  </si>
  <si>
    <t>NATURAL MDF</t>
  </si>
  <si>
    <t>PAROTA MDF</t>
  </si>
  <si>
    <t>MAPLE MDF</t>
  </si>
  <si>
    <t>COLORES MDF</t>
  </si>
  <si>
    <t xml:space="preserve">NO </t>
  </si>
  <si>
    <t>NO</t>
  </si>
  <si>
    <t xml:space="preserve">HERRAJES </t>
  </si>
  <si>
    <t xml:space="preserve">CLASE </t>
  </si>
  <si>
    <t xml:space="preserve">PRECIO </t>
  </si>
  <si>
    <t xml:space="preserve">BISGRA BIDIMENCIONAL CUELLO 0 </t>
  </si>
  <si>
    <t xml:space="preserve">EXTRAS </t>
  </si>
  <si>
    <t xml:space="preserve">CORREDERAS #30 CERRAJES </t>
  </si>
  <si>
    <t xml:space="preserve">CORREDERAS #35 CERRAJES </t>
  </si>
  <si>
    <t>CORREDERAS #40 CERRAJES</t>
  </si>
  <si>
    <t>CORREDERAS #45 CERRAJES</t>
  </si>
  <si>
    <t xml:space="preserve">CORREDERAS #50 CERRAJES </t>
  </si>
  <si>
    <t xml:space="preserve">Pintura </t>
  </si>
  <si>
    <t>Lija #220</t>
  </si>
  <si>
    <t>Lija #80</t>
  </si>
  <si>
    <t>Lija #60</t>
  </si>
  <si>
    <t xml:space="preserve">Liquidos y Lijas </t>
  </si>
  <si>
    <t>clavos # 1/2"</t>
  </si>
  <si>
    <t>clavos # 1"</t>
  </si>
  <si>
    <t>clavos # 1 1/4"</t>
  </si>
  <si>
    <t>clavos # 2"</t>
  </si>
  <si>
    <t>clavos # 1 3/4"</t>
  </si>
  <si>
    <t>clavos # 1 1/2"</t>
  </si>
  <si>
    <t>clavos # 3/4"</t>
  </si>
  <si>
    <t>Pija # 1/2"</t>
  </si>
  <si>
    <t>Pija # 3/4"</t>
  </si>
  <si>
    <t>Pija # 1"</t>
  </si>
  <si>
    <t>Pija # 1 1/4"</t>
  </si>
  <si>
    <t>Pija # 1 1/2"</t>
  </si>
  <si>
    <t>Pija # 1 3/4"</t>
  </si>
  <si>
    <t>Pija # 2"</t>
  </si>
  <si>
    <t xml:space="preserve">Clavos y Pijas </t>
  </si>
  <si>
    <t xml:space="preserve">CHAPA CINTA </t>
  </si>
  <si>
    <t>FRESNO CHC</t>
  </si>
  <si>
    <t>NOGAL CHC</t>
  </si>
  <si>
    <t xml:space="preserve">HERRAJES MARTINEZ </t>
  </si>
  <si>
    <t>Laca de poliuretano  1L</t>
  </si>
  <si>
    <t>Laca de nitrocelulosa 1L</t>
  </si>
  <si>
    <t>Sellador 1L</t>
  </si>
  <si>
    <t>Retardador  1L</t>
  </si>
  <si>
    <t>Tiner  1L</t>
  </si>
  <si>
    <t xml:space="preserve">Sellador cubeta </t>
  </si>
  <si>
    <t>Laca cubeta</t>
  </si>
  <si>
    <t>Lija de agua  #2000</t>
  </si>
  <si>
    <t>Lija de agua  #1500</t>
  </si>
  <si>
    <t>SAYER LACK</t>
  </si>
  <si>
    <t>Resistol 850 1L</t>
  </si>
  <si>
    <t xml:space="preserve">Resistol 850 cubeta </t>
  </si>
  <si>
    <t>tiner 20L</t>
  </si>
  <si>
    <t>Lija #320</t>
  </si>
  <si>
    <t>Lija #120</t>
  </si>
  <si>
    <t>MATERIALES</t>
  </si>
  <si>
    <t>DISEÑO</t>
  </si>
  <si>
    <t>SUBCONTRATO</t>
  </si>
  <si>
    <t>UNIDAD</t>
  </si>
  <si>
    <t>CANTIDAD</t>
  </si>
  <si>
    <t>PRECIO</t>
  </si>
  <si>
    <t>IMPORTE</t>
  </si>
  <si>
    <t>Diseño</t>
  </si>
  <si>
    <t>IMPORTE 3</t>
  </si>
  <si>
    <t>MANO DE OBRA</t>
  </si>
  <si>
    <t>CANTIDAD DE TABLAS</t>
  </si>
  <si>
    <t>PROVEDOR</t>
  </si>
  <si>
    <t>TELEFONO</t>
  </si>
  <si>
    <t>2</t>
  </si>
  <si>
    <t>PZA</t>
  </si>
  <si>
    <t>IMPORTE 2</t>
  </si>
  <si>
    <t>SUBCONTRATACIÓN</t>
  </si>
  <si>
    <t xml:space="preserve">CARPINTERO </t>
  </si>
  <si>
    <t>SERVICIO</t>
  </si>
  <si>
    <t>MEDIDA DE PIEZAS</t>
  </si>
  <si>
    <t>RAMIRO</t>
  </si>
  <si>
    <t>EMPLAYE</t>
  </si>
  <si>
    <t>RAFA</t>
  </si>
  <si>
    <t>BURBUJAS</t>
  </si>
  <si>
    <t>METRO</t>
  </si>
  <si>
    <t xml:space="preserve"> </t>
  </si>
  <si>
    <t>SUMA DE IMPORTES</t>
  </si>
  <si>
    <t>HERRAMIENTAS</t>
  </si>
  <si>
    <t>SUMA</t>
  </si>
  <si>
    <t>INDIRECTOS</t>
  </si>
  <si>
    <t>UTILIDAD</t>
  </si>
  <si>
    <t>EXTRA 5</t>
  </si>
  <si>
    <t>SUBTOTAL</t>
  </si>
  <si>
    <t>IVA</t>
  </si>
  <si>
    <t>TOTAL</t>
  </si>
  <si>
    <t xml:space="preserve">Estimada </t>
  </si>
  <si>
    <t>•</t>
  </si>
  <si>
    <t xml:space="preserve">Cantidad </t>
  </si>
  <si>
    <t xml:space="preserve">Concepto </t>
  </si>
  <si>
    <t xml:space="preserve">Importe </t>
  </si>
  <si>
    <t xml:space="preserve">Costo Unitario </t>
  </si>
  <si>
    <t>$23,326.4</t>
  </si>
  <si>
    <t>Subtotal</t>
  </si>
  <si>
    <t xml:space="preserve">IVA </t>
  </si>
  <si>
    <t xml:space="preserve">TOTAL </t>
  </si>
  <si>
    <t>$23,26.4</t>
  </si>
  <si>
    <t>$3,732.49</t>
  </si>
  <si>
    <t>$27,058,72</t>
  </si>
  <si>
    <t>Para iniciar el trabajo se requiere el 50% de anticipo, el resto 50% al finalizar</t>
  </si>
  <si>
    <r>
      <t xml:space="preserve">el trabajo. El tiempo de entrega del pedido es de </t>
    </r>
    <r>
      <rPr>
        <sz val="11"/>
        <color rgb="FFFF0000"/>
        <rFont val="Calibri"/>
        <family val="2"/>
        <scheme val="minor"/>
      </rPr>
      <t xml:space="preserve">20 </t>
    </r>
    <r>
      <rPr>
        <sz val="11"/>
        <color theme="1"/>
        <rFont val="Calibri"/>
        <family val="2"/>
        <scheme val="minor"/>
      </rPr>
      <t>días habiles  a partir del</t>
    </r>
  </si>
  <si>
    <t xml:space="preserve">anticipo . </t>
  </si>
  <si>
    <t xml:space="preserve">Atentamente </t>
  </si>
  <si>
    <t xml:space="preserve">Ing. Jesús Heriberto Gutierréz Villalobos </t>
  </si>
  <si>
    <t>Galletas</t>
  </si>
  <si>
    <t xml:space="preserve">Medidas </t>
  </si>
  <si>
    <t>Tamaño</t>
  </si>
  <si>
    <t>1"</t>
  </si>
  <si>
    <t>2"</t>
  </si>
  <si>
    <t xml:space="preserve">6mm </t>
  </si>
  <si>
    <t>9mm</t>
  </si>
  <si>
    <t>12mm</t>
  </si>
  <si>
    <t>15mm</t>
  </si>
  <si>
    <t>18mm</t>
  </si>
  <si>
    <t>16mm</t>
  </si>
  <si>
    <t>19mm</t>
  </si>
  <si>
    <t>25mm</t>
  </si>
  <si>
    <t>Precio</t>
  </si>
  <si>
    <t xml:space="preserve">Precio </t>
  </si>
  <si>
    <t xml:space="preserve">Precio  </t>
  </si>
  <si>
    <t>cuello0</t>
  </si>
  <si>
    <t>1l</t>
  </si>
  <si>
    <t>cubeta</t>
  </si>
  <si>
    <t>20l</t>
  </si>
  <si>
    <t xml:space="preserve"> 1/2"</t>
  </si>
  <si>
    <t>3/4"</t>
  </si>
  <si>
    <t>1 1/4"</t>
  </si>
  <si>
    <t xml:space="preserve"> 1 1/2"</t>
  </si>
  <si>
    <t>1 3/4"</t>
  </si>
  <si>
    <t xml:space="preserve"> 2"</t>
  </si>
  <si>
    <t>Estandar</t>
  </si>
  <si>
    <t xml:space="preserve"> 3/4"</t>
  </si>
  <si>
    <t xml:space="preserve"> 1"</t>
  </si>
  <si>
    <t xml:space="preserve">Fecha: </t>
  </si>
  <si>
    <t>Me permito presentarle la cotización de</t>
  </si>
  <si>
    <r>
      <t xml:space="preserve">Mide </t>
    </r>
    <r>
      <rPr>
        <sz val="11"/>
        <color theme="1"/>
        <rFont val="Calibri"/>
        <family val="2"/>
        <scheme val="minor"/>
      </rPr>
      <t xml:space="preserve"> </t>
    </r>
  </si>
  <si>
    <t xml:space="preserve">con las siguientes características: </t>
  </si>
  <si>
    <t xml:space="preserve">Foto </t>
  </si>
  <si>
    <t xml:space="preserve">                 heriberto.gtzv@gmil.com</t>
  </si>
  <si>
    <t xml:space="preserve">                    Calzada del Paraízo 91-a, Ciudad Granja, Zapopan Jalisco </t>
  </si>
  <si>
    <t xml:space="preserve">    GUVJ940625393</t>
  </si>
  <si>
    <t xml:space="preserve"> Ing. Jesús Heriberto Gutierréz Villalobos </t>
  </si>
  <si>
    <t>1</t>
  </si>
  <si>
    <t>LITRO</t>
  </si>
  <si>
    <t>Tiner 1L</t>
  </si>
  <si>
    <t>3</t>
  </si>
  <si>
    <t>Lija #3000</t>
  </si>
  <si>
    <t>.5</t>
  </si>
  <si>
    <t>INGENIERÍA</t>
  </si>
  <si>
    <t>8"X6"x1"</t>
  </si>
  <si>
    <t>LAQUEADOR</t>
  </si>
  <si>
    <t>0.3</t>
  </si>
  <si>
    <t>Tinta nogal</t>
  </si>
  <si>
    <t xml:space="preserve">Daniela </t>
  </si>
  <si>
    <t>Gómez</t>
  </si>
  <si>
    <t>INTERDEK</t>
  </si>
  <si>
    <t>Lic.</t>
  </si>
  <si>
    <t xml:space="preserve">Cabecera </t>
  </si>
  <si>
    <t>Cabecra hecha de MDF enchapado de encino</t>
  </si>
  <si>
    <t>3.16m   X 5.45m  X 5.9m</t>
  </si>
  <si>
    <t xml:space="preserve">Laca brillate de poliuretano </t>
  </si>
  <si>
    <t xml:space="preserve">Acabado mate brillante </t>
  </si>
  <si>
    <t xml:space="preserve">Color sellado azul mate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</si>
</sst>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4" formatCode="_-&quot;$&quot;* #,##0.00_-;\-&quot;$&quot;* #,##0.00_-;_-&quot;$&quot;* &quot;-&quot;??_-;_-@_-"/>
    <numFmt numFmtId="164" formatCode="_-[$$-80A]* #,##0.00_-;\-[$$-80A]* #,##0.00_-;_-[$$-80A]* &quot;-&quot;??_-;_-@_-"/>
    <numFmt numFmtId="165" formatCode="&quot;$&quot;#,##0.00;[Red]&quot;$&quot;#,##0.00"/>
    <numFmt numFmtId="166" formatCode="[$-F800]dddd\,\ mmmm\ dd\,\ yyyy"/>
    <numFmt numFmtId="170" formatCode="0.0"/>
  </numFmts>
  <fonts count="1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rgb="FFFF0000"/>
      <name val="Mydpro"/>
    </font>
    <font>
      <u/>
      <sz val="11"/>
      <color theme="10"/>
      <name val="Calibri"/>
      <family val="2"/>
      <scheme val="minor"/>
    </font>
    <font>
      <sz val="11"/>
      <color rgb="FF996633"/>
      <name val="Calibri"/>
      <family val="2"/>
      <scheme val="minor"/>
    </font>
    <font>
      <u/>
      <sz val="11"/>
      <color rgb="FF996633"/>
      <name val="Calibri"/>
      <family val="2"/>
      <scheme val="minor"/>
    </font>
    <font>
      <u/>
      <sz val="11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1"/>
      <color theme="1"/>
      <name val="Mydpro"/>
    </font>
    <font>
      <u/>
      <sz val="14"/>
      <color theme="1"/>
      <name val="Calibri"/>
      <family val="2"/>
      <scheme val="minor"/>
    </font>
    <font>
      <sz val="11"/>
      <color rgb="FF000000"/>
      <name val="Calibri"/>
      <family val="2"/>
    </font>
    <font>
      <sz val="12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9999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rgb="FFC00000"/>
      </top>
      <bottom style="thin">
        <color indexed="64"/>
      </bottom>
      <diagonal/>
    </border>
    <border>
      <left/>
      <right/>
      <top style="thin">
        <color rgb="FFC00000"/>
      </top>
      <bottom style="thin">
        <color indexed="64"/>
      </bottom>
      <diagonal/>
    </border>
    <border>
      <left/>
      <right style="thin">
        <color indexed="64"/>
      </right>
      <top style="thin">
        <color rgb="FFC00000"/>
      </top>
      <bottom style="thin">
        <color indexed="64"/>
      </bottom>
      <diagonal/>
    </border>
    <border>
      <left/>
      <right/>
      <top/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/>
      <right/>
      <top/>
      <bottom style="thin">
        <color theme="0" tint="-0.499984740745262"/>
      </bottom>
      <diagonal/>
    </border>
    <border>
      <left/>
      <right/>
      <top style="thin">
        <color theme="0" tint="-0.499984740745262"/>
      </top>
      <bottom/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7" fillId="0" borderId="0" applyNumberFormat="0" applyFill="0" applyBorder="0" applyAlignment="0" applyProtection="0"/>
    <xf numFmtId="44" fontId="1" fillId="0" borderId="0" applyFont="0" applyFill="0" applyBorder="0" applyAlignment="0" applyProtection="0"/>
  </cellStyleXfs>
  <cellXfs count="181">
    <xf numFmtId="0" fontId="0" fillId="0" borderId="0" xfId="0"/>
    <xf numFmtId="0" fontId="0" fillId="5" borderId="1" xfId="0" applyFill="1" applyBorder="1" applyAlignment="1">
      <alignment horizontal="center"/>
    </xf>
    <xf numFmtId="164" fontId="0" fillId="7" borderId="1" xfId="0" applyNumberFormat="1" applyFill="1" applyBorder="1" applyAlignment="1"/>
    <xf numFmtId="0" fontId="0" fillId="8" borderId="1" xfId="0" applyFill="1" applyBorder="1" applyAlignment="1">
      <alignment horizontal="center"/>
    </xf>
    <xf numFmtId="0" fontId="0" fillId="5" borderId="8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164" fontId="0" fillId="7" borderId="2" xfId="0" applyNumberFormat="1" applyFill="1" applyBorder="1" applyAlignment="1"/>
    <xf numFmtId="0" fontId="0" fillId="8" borderId="2" xfId="0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0" borderId="0" xfId="0" applyFill="1"/>
    <xf numFmtId="164" fontId="0" fillId="7" borderId="1" xfId="0" applyNumberFormat="1" applyFill="1" applyBorder="1" applyAlignment="1">
      <alignment horizontal="center"/>
    </xf>
    <xf numFmtId="0" fontId="0" fillId="8" borderId="1" xfId="0" applyFill="1" applyBorder="1"/>
    <xf numFmtId="0" fontId="0" fillId="0" borderId="1" xfId="0" applyBorder="1"/>
    <xf numFmtId="0" fontId="0" fillId="0" borderId="0" xfId="0" applyBorder="1"/>
    <xf numFmtId="0" fontId="0" fillId="0" borderId="4" xfId="0" applyBorder="1"/>
    <xf numFmtId="0" fontId="0" fillId="7" borderId="1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164" fontId="0" fillId="8" borderId="1" xfId="0" applyNumberFormat="1" applyFill="1" applyBorder="1" applyAlignment="1">
      <alignment horizontal="center"/>
    </xf>
    <xf numFmtId="0" fontId="0" fillId="9" borderId="8" xfId="0" applyFill="1" applyBorder="1" applyAlignment="1">
      <alignment horizontal="center"/>
    </xf>
    <xf numFmtId="0" fontId="4" fillId="0" borderId="0" xfId="0" applyFon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4" fontId="4" fillId="0" borderId="1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44" fontId="0" fillId="0" borderId="1" xfId="0" applyNumberFormat="1" applyFont="1" applyBorder="1" applyAlignment="1">
      <alignment horizontal="center" vertical="center"/>
    </xf>
    <xf numFmtId="165" fontId="0" fillId="0" borderId="1" xfId="0" applyNumberFormat="1" applyFont="1" applyBorder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165" fontId="4" fillId="0" borderId="1" xfId="0" applyNumberFormat="1" applyFont="1" applyBorder="1" applyAlignment="1">
      <alignment horizontal="center" vertical="center"/>
    </xf>
    <xf numFmtId="44" fontId="4" fillId="0" borderId="0" xfId="0" applyNumberFormat="1" applyFont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49" fontId="0" fillId="0" borderId="1" xfId="0" applyNumberFormat="1" applyFont="1" applyBorder="1" applyAlignment="1">
      <alignment horizontal="center" vertical="center"/>
    </xf>
    <xf numFmtId="44" fontId="4" fillId="0" borderId="4" xfId="0" applyNumberFormat="1" applyFont="1" applyBorder="1" applyAlignment="1">
      <alignment horizontal="center" vertical="center"/>
    </xf>
    <xf numFmtId="165" fontId="4" fillId="0" borderId="4" xfId="0" applyNumberFormat="1" applyFont="1" applyBorder="1" applyAlignment="1">
      <alignment horizontal="center" vertical="center"/>
    </xf>
    <xf numFmtId="165" fontId="4" fillId="0" borderId="0" xfId="0" applyNumberFormat="1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0" fillId="0" borderId="1" xfId="0" applyNumberFormat="1" applyFont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65" fontId="0" fillId="0" borderId="1" xfId="0" applyNumberFormat="1" applyBorder="1"/>
    <xf numFmtId="12" fontId="0" fillId="0" borderId="1" xfId="0" applyNumberFormat="1" applyFont="1" applyBorder="1" applyAlignment="1">
      <alignment horizontal="center" vertical="center"/>
    </xf>
    <xf numFmtId="165" fontId="0" fillId="0" borderId="0" xfId="0" applyNumberFormat="1"/>
    <xf numFmtId="0" fontId="0" fillId="0" borderId="0" xfId="0" applyFont="1" applyAlignment="1">
      <alignment horizontal="center" vertic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Font="1"/>
    <xf numFmtId="9" fontId="0" fillId="0" borderId="8" xfId="0" applyNumberFormat="1" applyFont="1" applyBorder="1" applyAlignment="1">
      <alignment horizontal="center" vertical="center"/>
    </xf>
    <xf numFmtId="9" fontId="0" fillId="0" borderId="8" xfId="1" applyFont="1" applyBorder="1" applyAlignment="1">
      <alignment horizontal="center" vertical="center"/>
    </xf>
    <xf numFmtId="0" fontId="0" fillId="0" borderId="5" xfId="0" applyFont="1" applyBorder="1" applyAlignment="1">
      <alignment horizontal="center" vertical="center"/>
    </xf>
    <xf numFmtId="9" fontId="0" fillId="0" borderId="12" xfId="1" applyFont="1" applyBorder="1" applyAlignment="1">
      <alignment horizontal="center" vertical="center"/>
    </xf>
    <xf numFmtId="165" fontId="0" fillId="0" borderId="2" xfId="0" applyNumberFormat="1" applyFont="1" applyBorder="1" applyAlignment="1">
      <alignment horizontal="center" vertical="center"/>
    </xf>
    <xf numFmtId="9" fontId="0" fillId="0" borderId="1" xfId="1" applyFont="1" applyBorder="1" applyAlignment="1">
      <alignment horizontal="center" vertical="center"/>
    </xf>
    <xf numFmtId="165" fontId="4" fillId="0" borderId="14" xfId="0" applyNumberFormat="1" applyFont="1" applyBorder="1" applyAlignment="1">
      <alignment horizontal="center" vertical="center"/>
    </xf>
    <xf numFmtId="9" fontId="0" fillId="0" borderId="1" xfId="0" applyNumberFormat="1" applyBorder="1"/>
    <xf numFmtId="165" fontId="4" fillId="0" borderId="1" xfId="0" applyNumberFormat="1" applyFont="1" applyBorder="1"/>
    <xf numFmtId="0" fontId="0" fillId="0" borderId="1" xfId="0" applyBorder="1" applyAlignment="1">
      <alignment horizontal="right"/>
    </xf>
    <xf numFmtId="0" fontId="5" fillId="0" borderId="0" xfId="0" applyFont="1" applyAlignment="1">
      <alignment horizontal="right"/>
    </xf>
    <xf numFmtId="0" fontId="5" fillId="0" borderId="0" xfId="0" applyFont="1" applyAlignment="1">
      <alignment horizontal="center"/>
    </xf>
    <xf numFmtId="0" fontId="5" fillId="0" borderId="1" xfId="0" applyFont="1" applyBorder="1" applyAlignment="1">
      <alignment horizontal="center"/>
    </xf>
    <xf numFmtId="0" fontId="5" fillId="0" borderId="0" xfId="0" applyFont="1" applyAlignment="1">
      <alignment horizontal="center" vertical="center"/>
    </xf>
    <xf numFmtId="0" fontId="0" fillId="0" borderId="23" xfId="0" applyBorder="1"/>
    <xf numFmtId="0" fontId="0" fillId="0" borderId="24" xfId="0" applyBorder="1"/>
    <xf numFmtId="0" fontId="4" fillId="0" borderId="0" xfId="0" applyFont="1" applyBorder="1" applyAlignment="1">
      <alignment horizontal="center" vertical="center"/>
    </xf>
    <xf numFmtId="165" fontId="0" fillId="0" borderId="0" xfId="0" applyNumberFormat="1" applyFont="1" applyBorder="1" applyAlignment="1">
      <alignment horizontal="center" vertical="center"/>
    </xf>
    <xf numFmtId="44" fontId="0" fillId="0" borderId="0" xfId="0" applyNumberFormat="1" applyFont="1" applyBorder="1" applyAlignment="1">
      <alignment horizontal="center" vertical="center"/>
    </xf>
    <xf numFmtId="165" fontId="0" fillId="0" borderId="0" xfId="0" applyNumberFormat="1" applyBorder="1"/>
    <xf numFmtId="165" fontId="4" fillId="0" borderId="0" xfId="0" applyNumberFormat="1" applyFont="1" applyBorder="1"/>
    <xf numFmtId="44" fontId="0" fillId="7" borderId="1" xfId="0" applyNumberFormat="1" applyFon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9" borderId="10" xfId="0" applyFill="1" applyBorder="1" applyAlignment="1">
      <alignment horizontal="center"/>
    </xf>
    <xf numFmtId="0" fontId="0" fillId="9" borderId="11" xfId="0" applyFill="1" applyBorder="1" applyAlignment="1">
      <alignment horizontal="center"/>
    </xf>
    <xf numFmtId="164" fontId="0" fillId="7" borderId="1" xfId="0" applyNumberFormat="1" applyFill="1" applyBorder="1"/>
    <xf numFmtId="0" fontId="10" fillId="0" borderId="0" xfId="0" applyFont="1"/>
    <xf numFmtId="0" fontId="0" fillId="6" borderId="1" xfId="0" applyFill="1" applyBorder="1" applyAlignment="1">
      <alignment horizontal="center"/>
    </xf>
    <xf numFmtId="0" fontId="0" fillId="10" borderId="1" xfId="0" applyFill="1" applyBorder="1" applyAlignment="1">
      <alignment horizontal="center"/>
    </xf>
    <xf numFmtId="0" fontId="11" fillId="0" borderId="0" xfId="0" applyFont="1"/>
    <xf numFmtId="0" fontId="0" fillId="0" borderId="0" xfId="0" applyAlignment="1">
      <alignment horizontal="center" vertical="center"/>
    </xf>
    <xf numFmtId="0" fontId="0" fillId="2" borderId="1" xfId="0" applyFill="1" applyBorder="1"/>
    <xf numFmtId="0" fontId="0" fillId="0" borderId="0" xfId="0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/>
    <xf numFmtId="0" fontId="6" fillId="0" borderId="0" xfId="0" applyFont="1" applyBorder="1" applyAlignment="1">
      <alignment horizontal="left" vertical="top"/>
    </xf>
    <xf numFmtId="0" fontId="0" fillId="0" borderId="0" xfId="0" applyFill="1" applyBorder="1" applyAlignment="1">
      <alignment horizontal="left"/>
    </xf>
    <xf numFmtId="0" fontId="0" fillId="0" borderId="0" xfId="0" applyAlignment="1">
      <alignment horizontal="right"/>
    </xf>
    <xf numFmtId="0" fontId="2" fillId="0" borderId="0" xfId="0" applyFont="1" applyBorder="1" applyAlignment="1">
      <alignment horizontal="left"/>
    </xf>
    <xf numFmtId="0" fontId="12" fillId="0" borderId="0" xfId="0" applyFont="1" applyBorder="1" applyAlignment="1">
      <alignment horizontal="right" vertical="center"/>
    </xf>
    <xf numFmtId="0" fontId="0" fillId="0" borderId="0" xfId="0" applyFont="1" applyBorder="1" applyAlignment="1">
      <alignment horizontal="right"/>
    </xf>
    <xf numFmtId="0" fontId="0" fillId="0" borderId="0" xfId="0" applyFont="1" applyBorder="1" applyAlignment="1">
      <alignment horizontal="left"/>
    </xf>
    <xf numFmtId="0" fontId="10" fillId="0" borderId="0" xfId="0" applyFont="1"/>
    <xf numFmtId="44" fontId="4" fillId="0" borderId="0" xfId="0" applyNumberFormat="1" applyFont="1" applyBorder="1" applyAlignment="1">
      <alignment horizontal="center"/>
    </xf>
    <xf numFmtId="0" fontId="0" fillId="0" borderId="10" xfId="0" applyFont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0" fillId="0" borderId="0" xfId="0"/>
    <xf numFmtId="0" fontId="10" fillId="0" borderId="0" xfId="0" applyFont="1"/>
    <xf numFmtId="0" fontId="0" fillId="0" borderId="4" xfId="0" applyBorder="1" applyAlignment="1">
      <alignment horizontal="center" vertical="center"/>
    </xf>
    <xf numFmtId="0" fontId="10" fillId="0" borderId="1" xfId="0" applyFont="1" applyBorder="1"/>
    <xf numFmtId="44" fontId="0" fillId="0" borderId="4" xfId="0" applyNumberFormat="1" applyFont="1" applyBorder="1" applyAlignment="1">
      <alignment horizontal="center" vertical="center"/>
    </xf>
    <xf numFmtId="44" fontId="0" fillId="7" borderId="4" xfId="0" applyNumberFormat="1" applyFont="1" applyFill="1" applyBorder="1" applyAlignment="1">
      <alignment horizontal="center" vertical="center"/>
    </xf>
    <xf numFmtId="0" fontId="0" fillId="7" borderId="4" xfId="0" applyFill="1" applyBorder="1" applyAlignment="1">
      <alignment horizontal="center" vertical="center"/>
    </xf>
    <xf numFmtId="0" fontId="0" fillId="4" borderId="0" xfId="0" applyFill="1" applyAlignment="1">
      <alignment horizontal="center"/>
    </xf>
    <xf numFmtId="0" fontId="0" fillId="0" borderId="10" xfId="0" applyFont="1" applyBorder="1" applyAlignment="1">
      <alignment horizontal="center" vertical="center"/>
    </xf>
    <xf numFmtId="0" fontId="0" fillId="0" borderId="8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2" borderId="0" xfId="0" applyFont="1" applyFill="1" applyAlignment="1">
      <alignment horizontal="center"/>
    </xf>
    <xf numFmtId="0" fontId="4" fillId="3" borderId="0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/>
    <xf numFmtId="0" fontId="0" fillId="0" borderId="0" xfId="0" applyFill="1" applyBorder="1" applyAlignment="1"/>
    <xf numFmtId="0" fontId="13" fillId="0" borderId="0" xfId="0" applyFont="1"/>
    <xf numFmtId="0" fontId="10" fillId="0" borderId="0" xfId="0" applyFont="1"/>
    <xf numFmtId="0" fontId="0" fillId="0" borderId="0" xfId="0" applyAlignment="1">
      <alignment wrapText="1"/>
    </xf>
    <xf numFmtId="0" fontId="0" fillId="0" borderId="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0" xfId="0" applyFont="1" applyAlignment="1">
      <alignment horizontal="left" vertical="center" wrapText="1"/>
    </xf>
    <xf numFmtId="166" fontId="0" fillId="0" borderId="10" xfId="0" applyNumberFormat="1" applyFont="1" applyBorder="1" applyAlignment="1">
      <alignment horizontal="center"/>
    </xf>
    <xf numFmtId="166" fontId="0" fillId="0" borderId="11" xfId="0" applyNumberFormat="1" applyFont="1" applyBorder="1" applyAlignment="1">
      <alignment horizontal="center"/>
    </xf>
    <xf numFmtId="166" fontId="0" fillId="0" borderId="8" xfId="0" applyNumberFormat="1" applyFont="1" applyBorder="1" applyAlignment="1">
      <alignment horizontal="center"/>
    </xf>
    <xf numFmtId="0" fontId="12" fillId="0" borderId="15" xfId="0" applyFont="1" applyBorder="1" applyAlignment="1">
      <alignment horizontal="left" vertical="center"/>
    </xf>
    <xf numFmtId="0" fontId="0" fillId="0" borderId="0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left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16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0" fillId="0" borderId="0" xfId="0" applyAlignment="1">
      <alignment horizontal="left"/>
    </xf>
    <xf numFmtId="0" fontId="3" fillId="0" borderId="10" xfId="0" applyFont="1" applyBorder="1" applyAlignment="1">
      <alignment horizontal="center"/>
    </xf>
    <xf numFmtId="0" fontId="0" fillId="0" borderId="5" xfId="0" applyFont="1" applyBorder="1" applyAlignment="1">
      <alignment horizontal="center" vertical="center" wrapText="1"/>
    </xf>
    <xf numFmtId="0" fontId="0" fillId="0" borderId="16" xfId="0" applyFont="1" applyBorder="1" applyAlignment="1">
      <alignment horizontal="center" vertical="center" wrapText="1"/>
    </xf>
    <xf numFmtId="0" fontId="0" fillId="0" borderId="12" xfId="0" applyFont="1" applyBorder="1" applyAlignment="1">
      <alignment horizontal="center" vertical="center" wrapText="1"/>
    </xf>
    <xf numFmtId="0" fontId="0" fillId="0" borderId="6" xfId="0" applyFont="1" applyBorder="1" applyAlignment="1">
      <alignment horizontal="center" vertical="center" wrapText="1"/>
    </xf>
    <xf numFmtId="0" fontId="0" fillId="0" borderId="0" xfId="0" applyFont="1" applyBorder="1" applyAlignment="1">
      <alignment horizontal="center" vertical="center" wrapText="1"/>
    </xf>
    <xf numFmtId="0" fontId="0" fillId="0" borderId="9" xfId="0" applyFont="1" applyBorder="1" applyAlignment="1">
      <alignment horizontal="center" vertical="center" wrapText="1"/>
    </xf>
    <xf numFmtId="0" fontId="0" fillId="0" borderId="7" xfId="0" applyFont="1" applyBorder="1" applyAlignment="1">
      <alignment horizontal="center" vertical="center" wrapText="1"/>
    </xf>
    <xf numFmtId="0" fontId="0" fillId="0" borderId="15" xfId="0" applyFont="1" applyBorder="1" applyAlignment="1">
      <alignment horizontal="center" vertical="center" wrapText="1"/>
    </xf>
    <xf numFmtId="0" fontId="0" fillId="0" borderId="17" xfId="0" applyFont="1" applyBorder="1" applyAlignment="1">
      <alignment horizontal="center" vertical="center" wrapText="1"/>
    </xf>
    <xf numFmtId="0" fontId="3" fillId="0" borderId="0" xfId="0" applyFont="1" applyBorder="1" applyAlignment="1">
      <alignment horizontal="center"/>
    </xf>
    <xf numFmtId="0" fontId="3" fillId="0" borderId="21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9" fillId="0" borderId="0" xfId="2" applyFont="1" applyAlignment="1">
      <alignment horizontal="center"/>
    </xf>
    <xf numFmtId="0" fontId="8" fillId="0" borderId="0" xfId="0" applyFont="1" applyAlignment="1"/>
    <xf numFmtId="0" fontId="0" fillId="0" borderId="22" xfId="0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20" xfId="0" applyFont="1" applyBorder="1" applyAlignment="1">
      <alignment horizontal="center"/>
    </xf>
    <xf numFmtId="0" fontId="15" fillId="0" borderId="1" xfId="0" applyFont="1" applyBorder="1" applyAlignment="1">
      <alignment horizontal="center" vertical="center"/>
    </xf>
    <xf numFmtId="44" fontId="15" fillId="0" borderId="1" xfId="0" applyNumberFormat="1" applyFont="1" applyBorder="1" applyAlignment="1">
      <alignment horizontal="center" vertical="center"/>
    </xf>
    <xf numFmtId="44" fontId="15" fillId="0" borderId="10" xfId="3" applyFont="1" applyBorder="1" applyAlignment="1">
      <alignment horizontal="center" vertical="center"/>
    </xf>
    <xf numFmtId="170" fontId="15" fillId="0" borderId="1" xfId="0" applyNumberFormat="1" applyFont="1" applyBorder="1" applyAlignment="1">
      <alignment horizontal="center" vertical="center"/>
    </xf>
    <xf numFmtId="1" fontId="15" fillId="0" borderId="1" xfId="0" applyNumberFormat="1" applyFont="1" applyBorder="1" applyAlignment="1">
      <alignment horizontal="center" vertical="center"/>
    </xf>
  </cellXfs>
  <cellStyles count="4">
    <cellStyle name="Hipervínculo" xfId="2" builtinId="8"/>
    <cellStyle name="Moneda" xfId="3" builtinId="4"/>
    <cellStyle name="Normal" xfId="0" builtinId="0"/>
    <cellStyle name="Porcentaje" xfId="1" builtinId="5"/>
  </cellStyles>
  <dxfs count="0"/>
  <tableStyles count="0" defaultTableStyle="TableStyleMedium2" defaultPivotStyle="PivotStyleLight16"/>
  <colors>
    <mruColors>
      <color rgb="FF996633"/>
      <color rgb="FFCCFF99"/>
      <color rgb="FF66FFFF"/>
      <color rgb="FFFF9999"/>
      <color rgb="FFCCFFCC"/>
      <color rgb="FF00CCFF"/>
      <color rgb="FFFFCCFF"/>
      <color rgb="FFFFFF99"/>
      <color rgb="FFFFCC99"/>
      <color rgb="FFFF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</xdr:colOff>
          <xdr:row>32</xdr:row>
          <xdr:rowOff>28575</xdr:rowOff>
        </xdr:from>
        <xdr:to>
          <xdr:col>14</xdr:col>
          <xdr:colOff>742950</xdr:colOff>
          <xdr:row>36</xdr:row>
          <xdr:rowOff>28575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AGREGAR MATERIAL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723900</xdr:colOff>
          <xdr:row>0</xdr:row>
          <xdr:rowOff>180975</xdr:rowOff>
        </xdr:from>
        <xdr:to>
          <xdr:col>14</xdr:col>
          <xdr:colOff>647700</xdr:colOff>
          <xdr:row>5</xdr:row>
          <xdr:rowOff>133350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INFORMACIÓN DE COTIZACIÓN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711237</xdr:colOff>
      <xdr:row>1</xdr:row>
      <xdr:rowOff>84949</xdr:rowOff>
    </xdr:from>
    <xdr:to>
      <xdr:col>8</xdr:col>
      <xdr:colOff>140771</xdr:colOff>
      <xdr:row>7</xdr:row>
      <xdr:rowOff>2648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3893" y="275449"/>
          <a:ext cx="1989456" cy="1060699"/>
        </a:xfrm>
        <a:prstGeom prst="rect">
          <a:avLst/>
        </a:prstGeom>
      </xdr:spPr>
    </xdr:pic>
    <xdr:clientData/>
  </xdr:twoCellAnchor>
  <xdr:twoCellAnchor editAs="oneCell">
    <xdr:from>
      <xdr:col>7</xdr:col>
      <xdr:colOff>418624</xdr:colOff>
      <xdr:row>34</xdr:row>
      <xdr:rowOff>111273</xdr:rowOff>
    </xdr:from>
    <xdr:to>
      <xdr:col>8</xdr:col>
      <xdr:colOff>15635</xdr:colOff>
      <xdr:row>40</xdr:row>
      <xdr:rowOff>39453</xdr:rowOff>
    </xdr:to>
    <xdr:pic>
      <xdr:nvPicPr>
        <xdr:cNvPr id="6" name="Imagen 5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86296" y="7205756"/>
          <a:ext cx="757529" cy="1044904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heriberto.gtzv@gmil.com" TargetMode="Externa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Q173"/>
  <sheetViews>
    <sheetView topLeftCell="A62" zoomScale="84" zoomScaleNormal="84" workbookViewId="0">
      <selection activeCell="D143" sqref="D143"/>
    </sheetView>
  </sheetViews>
  <sheetFormatPr baseColWidth="10" defaultRowHeight="15"/>
  <cols>
    <col min="1" max="1" width="28" customWidth="1"/>
    <col min="2" max="2" width="43.140625" customWidth="1"/>
    <col min="3" max="3" width="35.28515625" customWidth="1"/>
    <col min="4" max="4" width="20" customWidth="1"/>
    <col min="5" max="5" width="25.7109375" customWidth="1"/>
    <col min="6" max="6" width="28.28515625" customWidth="1"/>
    <col min="7" max="7" width="28.42578125" customWidth="1"/>
    <col min="8" max="8" width="15.5703125" customWidth="1"/>
    <col min="9" max="9" width="26.42578125" customWidth="1"/>
  </cols>
  <sheetData>
    <row r="1" spans="1:17">
      <c r="A1" s="106" t="s">
        <v>0</v>
      </c>
      <c r="B1" s="106"/>
      <c r="C1" s="106"/>
      <c r="D1" s="106"/>
      <c r="E1" s="106"/>
      <c r="F1" s="106"/>
      <c r="G1" s="106"/>
      <c r="H1" s="106"/>
      <c r="I1" s="106"/>
      <c r="J1" s="106"/>
      <c r="K1" s="106"/>
      <c r="L1" s="106"/>
      <c r="M1" s="106"/>
      <c r="N1" s="106"/>
      <c r="O1" s="106"/>
      <c r="P1" s="106"/>
      <c r="Q1" s="106"/>
    </row>
    <row r="2" spans="1:17">
      <c r="A2" s="81"/>
      <c r="B2" s="18" t="s">
        <v>2</v>
      </c>
      <c r="C2" s="18" t="s">
        <v>144</v>
      </c>
      <c r="D2" s="18" t="s">
        <v>155</v>
      </c>
      <c r="E2" s="18" t="s">
        <v>14</v>
      </c>
    </row>
    <row r="3" spans="1:17">
      <c r="A3" s="77" t="s">
        <v>1</v>
      </c>
      <c r="B3" s="1" t="s">
        <v>3</v>
      </c>
      <c r="C3" s="1" t="s">
        <v>145</v>
      </c>
      <c r="D3" s="2">
        <v>64</v>
      </c>
      <c r="E3" s="3" t="s">
        <v>15</v>
      </c>
    </row>
    <row r="4" spans="1:17">
      <c r="A4" s="77" t="s">
        <v>1</v>
      </c>
      <c r="B4" s="1" t="s">
        <v>4</v>
      </c>
      <c r="C4" s="1" t="s">
        <v>145</v>
      </c>
      <c r="D4" s="2">
        <v>69</v>
      </c>
      <c r="E4" s="3" t="s">
        <v>16</v>
      </c>
    </row>
    <row r="5" spans="1:17">
      <c r="A5" s="77" t="s">
        <v>1</v>
      </c>
      <c r="B5" s="1" t="s">
        <v>5</v>
      </c>
      <c r="C5" s="1" t="s">
        <v>145</v>
      </c>
      <c r="D5" s="2">
        <v>131.19999999999999</v>
      </c>
      <c r="E5" s="3" t="s">
        <v>16</v>
      </c>
    </row>
    <row r="6" spans="1:17">
      <c r="A6" s="77" t="s">
        <v>1</v>
      </c>
      <c r="B6" s="1" t="s">
        <v>6</v>
      </c>
      <c r="C6" s="1" t="s">
        <v>145</v>
      </c>
      <c r="D6" s="2">
        <v>52.28</v>
      </c>
      <c r="E6" s="3" t="s">
        <v>16</v>
      </c>
    </row>
    <row r="7" spans="1:17">
      <c r="A7" s="77" t="s">
        <v>1</v>
      </c>
      <c r="B7" s="1" t="s">
        <v>7</v>
      </c>
      <c r="C7" s="1" t="s">
        <v>145</v>
      </c>
      <c r="D7" s="2">
        <v>41</v>
      </c>
      <c r="E7" s="3" t="s">
        <v>16</v>
      </c>
    </row>
    <row r="8" spans="1:17">
      <c r="A8" s="77" t="s">
        <v>1</v>
      </c>
      <c r="B8" s="1" t="s">
        <v>8</v>
      </c>
      <c r="C8" s="1" t="s">
        <v>145</v>
      </c>
      <c r="D8" s="2">
        <v>57.99</v>
      </c>
      <c r="E8" s="3" t="s">
        <v>16</v>
      </c>
    </row>
    <row r="9" spans="1:17">
      <c r="A9" s="77" t="s">
        <v>1</v>
      </c>
      <c r="B9" s="1" t="s">
        <v>9</v>
      </c>
      <c r="C9" s="1" t="s">
        <v>145</v>
      </c>
      <c r="D9" s="2"/>
      <c r="E9" s="3"/>
    </row>
    <row r="10" spans="1:17">
      <c r="A10" s="77" t="s">
        <v>1</v>
      </c>
      <c r="B10" s="1" t="s">
        <v>10</v>
      </c>
      <c r="C10" s="1" t="s">
        <v>145</v>
      </c>
      <c r="D10" s="2">
        <v>27</v>
      </c>
      <c r="E10" s="3" t="s">
        <v>15</v>
      </c>
    </row>
    <row r="11" spans="1:17">
      <c r="A11" s="77" t="s">
        <v>1</v>
      </c>
      <c r="B11" s="1" t="s">
        <v>11</v>
      </c>
      <c r="C11" s="1" t="s">
        <v>145</v>
      </c>
      <c r="D11" s="2"/>
      <c r="E11" s="3"/>
    </row>
    <row r="12" spans="1:17">
      <c r="A12" s="77" t="s">
        <v>1</v>
      </c>
      <c r="B12" s="1" t="s">
        <v>12</v>
      </c>
      <c r="C12" s="1" t="s">
        <v>145</v>
      </c>
      <c r="D12" s="2">
        <v>64</v>
      </c>
      <c r="E12" s="3" t="s">
        <v>17</v>
      </c>
    </row>
    <row r="13" spans="1:17">
      <c r="A13" s="77" t="s">
        <v>1</v>
      </c>
      <c r="B13" s="6" t="s">
        <v>13</v>
      </c>
      <c r="C13" s="6" t="s">
        <v>145</v>
      </c>
      <c r="D13" s="7">
        <v>44</v>
      </c>
      <c r="E13" s="8" t="s">
        <v>17</v>
      </c>
    </row>
    <row r="14" spans="1:17">
      <c r="A14" s="77" t="s">
        <v>1</v>
      </c>
      <c r="B14" s="1" t="s">
        <v>3</v>
      </c>
      <c r="C14" s="1" t="s">
        <v>146</v>
      </c>
      <c r="D14" s="2">
        <v>64</v>
      </c>
      <c r="E14" s="3" t="s">
        <v>15</v>
      </c>
    </row>
    <row r="15" spans="1:17">
      <c r="A15" s="77" t="s">
        <v>1</v>
      </c>
      <c r="B15" s="1" t="s">
        <v>4</v>
      </c>
      <c r="C15" s="1" t="s">
        <v>146</v>
      </c>
      <c r="D15" s="2">
        <v>89</v>
      </c>
      <c r="E15" s="3" t="s">
        <v>16</v>
      </c>
    </row>
    <row r="16" spans="1:17">
      <c r="A16" s="77" t="s">
        <v>1</v>
      </c>
      <c r="B16" s="1" t="s">
        <v>5</v>
      </c>
      <c r="C16" s="1" t="s">
        <v>146</v>
      </c>
      <c r="D16" s="2">
        <v>143.5</v>
      </c>
      <c r="E16" s="3" t="s">
        <v>16</v>
      </c>
    </row>
    <row r="17" spans="1:5">
      <c r="A17" s="77" t="s">
        <v>1</v>
      </c>
      <c r="B17" s="1" t="s">
        <v>6</v>
      </c>
      <c r="C17" s="1" t="s">
        <v>146</v>
      </c>
      <c r="D17" s="2">
        <v>70.73</v>
      </c>
      <c r="E17" s="3" t="s">
        <v>16</v>
      </c>
    </row>
    <row r="18" spans="1:5">
      <c r="A18" s="77" t="s">
        <v>1</v>
      </c>
      <c r="B18" s="1" t="s">
        <v>7</v>
      </c>
      <c r="C18" s="1" t="s">
        <v>146</v>
      </c>
      <c r="D18" s="2">
        <v>45.1</v>
      </c>
      <c r="E18" s="3" t="s">
        <v>16</v>
      </c>
    </row>
    <row r="19" spans="1:5">
      <c r="A19" s="77" t="s">
        <v>1</v>
      </c>
      <c r="B19" s="1" t="s">
        <v>8</v>
      </c>
      <c r="C19" s="1" t="s">
        <v>146</v>
      </c>
      <c r="D19" s="2">
        <v>69.680000000000007</v>
      </c>
      <c r="E19" s="3" t="s">
        <v>16</v>
      </c>
    </row>
    <row r="20" spans="1:5">
      <c r="A20" s="77" t="s">
        <v>1</v>
      </c>
      <c r="B20" s="1" t="s">
        <v>9</v>
      </c>
      <c r="C20" s="1" t="s">
        <v>146</v>
      </c>
      <c r="D20" s="2"/>
      <c r="E20" s="3"/>
    </row>
    <row r="21" spans="1:5">
      <c r="A21" s="77" t="s">
        <v>1</v>
      </c>
      <c r="B21" s="1" t="s">
        <v>10</v>
      </c>
      <c r="C21" s="1" t="s">
        <v>146</v>
      </c>
      <c r="D21" s="2">
        <v>28</v>
      </c>
      <c r="E21" s="3" t="s">
        <v>15</v>
      </c>
    </row>
    <row r="22" spans="1:5">
      <c r="A22" s="77" t="s">
        <v>1</v>
      </c>
      <c r="B22" s="1" t="s">
        <v>11</v>
      </c>
      <c r="C22" s="1" t="s">
        <v>146</v>
      </c>
      <c r="D22" s="2"/>
      <c r="E22" s="3"/>
    </row>
    <row r="23" spans="1:5">
      <c r="A23" s="77" t="s">
        <v>1</v>
      </c>
      <c r="B23" s="1" t="s">
        <v>12</v>
      </c>
      <c r="C23" s="1" t="s">
        <v>146</v>
      </c>
      <c r="D23" s="2">
        <v>78</v>
      </c>
      <c r="E23" s="3" t="s">
        <v>17</v>
      </c>
    </row>
    <row r="24" spans="1:5">
      <c r="A24" s="77" t="s">
        <v>1</v>
      </c>
      <c r="B24" s="6" t="s">
        <v>13</v>
      </c>
      <c r="C24" s="6" t="s">
        <v>146</v>
      </c>
      <c r="D24" s="7">
        <v>44</v>
      </c>
      <c r="E24" s="8" t="s">
        <v>17</v>
      </c>
    </row>
    <row r="25" spans="1:5">
      <c r="A25" s="10" t="s">
        <v>19</v>
      </c>
      <c r="B25" s="10"/>
      <c r="C25" s="10"/>
      <c r="D25" s="10" t="s">
        <v>156</v>
      </c>
      <c r="E25" s="5" t="s">
        <v>14</v>
      </c>
    </row>
    <row r="26" spans="1:5">
      <c r="A26" s="77" t="s">
        <v>18</v>
      </c>
      <c r="B26" s="9" t="s">
        <v>20</v>
      </c>
      <c r="C26" s="1" t="s">
        <v>147</v>
      </c>
      <c r="D26" s="12">
        <v>450</v>
      </c>
      <c r="E26" s="13" t="s">
        <v>28</v>
      </c>
    </row>
    <row r="27" spans="1:5">
      <c r="A27" s="77" t="s">
        <v>18</v>
      </c>
      <c r="B27" s="1" t="s">
        <v>21</v>
      </c>
      <c r="C27" s="1" t="s">
        <v>147</v>
      </c>
      <c r="D27" s="12">
        <v>400</v>
      </c>
      <c r="E27" s="13" t="s">
        <v>29</v>
      </c>
    </row>
    <row r="28" spans="1:5">
      <c r="A28" s="77" t="s">
        <v>18</v>
      </c>
      <c r="B28" s="1" t="s">
        <v>22</v>
      </c>
      <c r="C28" s="1" t="s">
        <v>147</v>
      </c>
      <c r="D28" s="12">
        <v>240</v>
      </c>
      <c r="E28" s="13" t="s">
        <v>29</v>
      </c>
    </row>
    <row r="29" spans="1:5">
      <c r="A29" s="77" t="s">
        <v>18</v>
      </c>
      <c r="B29" s="4" t="s">
        <v>23</v>
      </c>
      <c r="C29" s="1" t="s">
        <v>147</v>
      </c>
      <c r="D29" s="12">
        <v>276</v>
      </c>
      <c r="E29" s="13" t="s">
        <v>30</v>
      </c>
    </row>
    <row r="30" spans="1:5">
      <c r="A30" s="77" t="s">
        <v>18</v>
      </c>
      <c r="B30" s="1" t="s">
        <v>24</v>
      </c>
      <c r="C30" s="1" t="s">
        <v>147</v>
      </c>
      <c r="D30" s="12">
        <v>281</v>
      </c>
      <c r="E30" s="13" t="s">
        <v>30</v>
      </c>
    </row>
    <row r="31" spans="1:5">
      <c r="A31" s="77" t="s">
        <v>18</v>
      </c>
      <c r="B31" s="1" t="s">
        <v>25</v>
      </c>
      <c r="C31" s="1" t="s">
        <v>147</v>
      </c>
      <c r="D31" s="12" t="s">
        <v>38</v>
      </c>
      <c r="E31" s="13" t="s">
        <v>30</v>
      </c>
    </row>
    <row r="32" spans="1:5">
      <c r="A32" s="77" t="s">
        <v>18</v>
      </c>
      <c r="B32" s="1" t="s">
        <v>26</v>
      </c>
      <c r="C32" s="1" t="s">
        <v>147</v>
      </c>
      <c r="D32" s="12">
        <v>216</v>
      </c>
      <c r="E32" s="13" t="s">
        <v>30</v>
      </c>
    </row>
    <row r="33" spans="1:7">
      <c r="A33" s="77" t="s">
        <v>18</v>
      </c>
      <c r="B33" s="1" t="s">
        <v>27</v>
      </c>
      <c r="C33" s="1" t="s">
        <v>147</v>
      </c>
      <c r="D33" s="12">
        <v>182</v>
      </c>
      <c r="E33" s="13" t="s">
        <v>30</v>
      </c>
    </row>
    <row r="34" spans="1:7">
      <c r="A34" s="77" t="s">
        <v>18</v>
      </c>
      <c r="B34" s="1" t="s">
        <v>22</v>
      </c>
      <c r="C34" s="1" t="s">
        <v>147</v>
      </c>
      <c r="D34" s="12">
        <v>189</v>
      </c>
      <c r="E34" s="13" t="s">
        <v>30</v>
      </c>
    </row>
    <row r="35" spans="1:7">
      <c r="A35" s="77" t="s">
        <v>18</v>
      </c>
      <c r="B35" s="9" t="s">
        <v>20</v>
      </c>
      <c r="C35" s="1" t="s">
        <v>148</v>
      </c>
      <c r="D35" s="12" t="s">
        <v>38</v>
      </c>
      <c r="E35" s="13"/>
    </row>
    <row r="36" spans="1:7">
      <c r="A36" s="77" t="s">
        <v>18</v>
      </c>
      <c r="B36" s="1" t="s">
        <v>21</v>
      </c>
      <c r="C36" s="1" t="s">
        <v>148</v>
      </c>
      <c r="D36" s="12" t="s">
        <v>38</v>
      </c>
      <c r="E36" s="13"/>
    </row>
    <row r="37" spans="1:7" ht="15.75">
      <c r="A37" s="77" t="s">
        <v>18</v>
      </c>
      <c r="B37" s="1" t="s">
        <v>22</v>
      </c>
      <c r="C37" s="1" t="s">
        <v>148</v>
      </c>
      <c r="D37" s="12" t="s">
        <v>38</v>
      </c>
      <c r="E37" s="13"/>
      <c r="G37" s="79"/>
    </row>
    <row r="38" spans="1:7">
      <c r="A38" s="77" t="s">
        <v>18</v>
      </c>
      <c r="B38" s="4" t="s">
        <v>23</v>
      </c>
      <c r="C38" s="1" t="s">
        <v>148</v>
      </c>
      <c r="D38" s="12" t="s">
        <v>38</v>
      </c>
      <c r="E38" s="13"/>
    </row>
    <row r="39" spans="1:7">
      <c r="A39" s="77" t="s">
        <v>18</v>
      </c>
      <c r="B39" s="1" t="s">
        <v>24</v>
      </c>
      <c r="C39" s="1" t="s">
        <v>148</v>
      </c>
      <c r="D39" s="12" t="s">
        <v>38</v>
      </c>
      <c r="E39" s="13"/>
    </row>
    <row r="40" spans="1:7">
      <c r="A40" s="77" t="s">
        <v>18</v>
      </c>
      <c r="B40" s="1" t="s">
        <v>25</v>
      </c>
      <c r="C40" s="1" t="s">
        <v>148</v>
      </c>
      <c r="D40" s="12" t="s">
        <v>38</v>
      </c>
      <c r="E40" s="13"/>
    </row>
    <row r="41" spans="1:7">
      <c r="A41" s="77" t="s">
        <v>18</v>
      </c>
      <c r="B41" s="1" t="s">
        <v>26</v>
      </c>
      <c r="C41" s="1" t="s">
        <v>148</v>
      </c>
      <c r="D41" s="12" t="s">
        <v>38</v>
      </c>
      <c r="E41" s="13"/>
    </row>
    <row r="42" spans="1:7">
      <c r="A42" s="77" t="s">
        <v>18</v>
      </c>
      <c r="B42" s="1" t="s">
        <v>27</v>
      </c>
      <c r="C42" s="1" t="s">
        <v>148</v>
      </c>
      <c r="D42" s="12" t="s">
        <v>38</v>
      </c>
      <c r="E42" s="13"/>
    </row>
    <row r="43" spans="1:7">
      <c r="A43" s="77" t="s">
        <v>18</v>
      </c>
      <c r="B43" s="1" t="s">
        <v>22</v>
      </c>
      <c r="C43" s="1" t="s">
        <v>148</v>
      </c>
      <c r="D43" s="12">
        <v>311</v>
      </c>
      <c r="E43" s="13"/>
    </row>
    <row r="44" spans="1:7">
      <c r="A44" s="77" t="s">
        <v>18</v>
      </c>
      <c r="B44" s="9" t="s">
        <v>20</v>
      </c>
      <c r="C44" s="1" t="s">
        <v>149</v>
      </c>
      <c r="D44" s="12" t="s">
        <v>38</v>
      </c>
      <c r="E44" s="13"/>
    </row>
    <row r="45" spans="1:7">
      <c r="A45" s="77" t="s">
        <v>18</v>
      </c>
      <c r="B45" s="1" t="s">
        <v>21</v>
      </c>
      <c r="C45" s="1" t="s">
        <v>149</v>
      </c>
      <c r="D45" s="12" t="s">
        <v>38</v>
      </c>
      <c r="E45" s="13"/>
    </row>
    <row r="46" spans="1:7">
      <c r="A46" s="77" t="s">
        <v>18</v>
      </c>
      <c r="B46" s="1" t="s">
        <v>22</v>
      </c>
      <c r="C46" s="1" t="s">
        <v>149</v>
      </c>
      <c r="D46" s="12" t="s">
        <v>38</v>
      </c>
      <c r="E46" s="13"/>
    </row>
    <row r="47" spans="1:7">
      <c r="A47" s="77" t="s">
        <v>18</v>
      </c>
      <c r="B47" s="4" t="s">
        <v>23</v>
      </c>
      <c r="C47" s="1" t="s">
        <v>149</v>
      </c>
      <c r="D47" s="12" t="s">
        <v>38</v>
      </c>
      <c r="E47" s="13"/>
    </row>
    <row r="48" spans="1:7">
      <c r="A48" s="77" t="s">
        <v>18</v>
      </c>
      <c r="B48" s="1" t="s">
        <v>24</v>
      </c>
      <c r="C48" s="1" t="s">
        <v>149</v>
      </c>
      <c r="D48" s="12" t="s">
        <v>38</v>
      </c>
      <c r="E48" s="13"/>
    </row>
    <row r="49" spans="1:5">
      <c r="A49" s="77" t="s">
        <v>18</v>
      </c>
      <c r="B49" s="1" t="s">
        <v>25</v>
      </c>
      <c r="C49" s="1" t="s">
        <v>149</v>
      </c>
      <c r="D49" s="12" t="s">
        <v>38</v>
      </c>
      <c r="E49" s="13"/>
    </row>
    <row r="50" spans="1:5">
      <c r="A50" s="77" t="s">
        <v>18</v>
      </c>
      <c r="B50" s="1" t="s">
        <v>26</v>
      </c>
      <c r="C50" s="1" t="s">
        <v>149</v>
      </c>
      <c r="D50" s="12" t="s">
        <v>38</v>
      </c>
      <c r="E50" s="13"/>
    </row>
    <row r="51" spans="1:5">
      <c r="A51" s="77" t="s">
        <v>18</v>
      </c>
      <c r="B51" s="1" t="s">
        <v>27</v>
      </c>
      <c r="C51" s="1" t="s">
        <v>149</v>
      </c>
      <c r="D51" s="12" t="s">
        <v>38</v>
      </c>
      <c r="E51" s="13"/>
    </row>
    <row r="52" spans="1:5">
      <c r="A52" s="77" t="s">
        <v>18</v>
      </c>
      <c r="B52" s="1" t="s">
        <v>22</v>
      </c>
      <c r="C52" s="1" t="s">
        <v>149</v>
      </c>
      <c r="D52" s="12">
        <v>311</v>
      </c>
      <c r="E52" s="13"/>
    </row>
    <row r="53" spans="1:5">
      <c r="A53" s="77" t="s">
        <v>18</v>
      </c>
      <c r="B53" s="9" t="s">
        <v>20</v>
      </c>
      <c r="C53" s="1" t="s">
        <v>150</v>
      </c>
      <c r="D53" s="12" t="s">
        <v>39</v>
      </c>
      <c r="E53" s="13"/>
    </row>
    <row r="54" spans="1:5">
      <c r="A54" s="77" t="s">
        <v>18</v>
      </c>
      <c r="B54" s="1" t="s">
        <v>21</v>
      </c>
      <c r="C54" s="1" t="s">
        <v>150</v>
      </c>
      <c r="D54" s="12" t="s">
        <v>39</v>
      </c>
      <c r="E54" s="13"/>
    </row>
    <row r="55" spans="1:5">
      <c r="A55" s="77" t="s">
        <v>18</v>
      </c>
      <c r="B55" s="1" t="s">
        <v>22</v>
      </c>
      <c r="C55" s="1" t="s">
        <v>150</v>
      </c>
      <c r="D55" s="12" t="s">
        <v>39</v>
      </c>
      <c r="E55" s="13"/>
    </row>
    <row r="56" spans="1:5">
      <c r="A56" s="77" t="s">
        <v>18</v>
      </c>
      <c r="B56" s="4" t="s">
        <v>23</v>
      </c>
      <c r="C56" s="1" t="s">
        <v>150</v>
      </c>
      <c r="D56" s="12">
        <v>535</v>
      </c>
      <c r="E56" s="13"/>
    </row>
    <row r="57" spans="1:5">
      <c r="A57" s="77" t="s">
        <v>18</v>
      </c>
      <c r="B57" s="1" t="s">
        <v>24</v>
      </c>
      <c r="C57" s="1" t="s">
        <v>150</v>
      </c>
      <c r="D57" s="12">
        <v>820</v>
      </c>
      <c r="E57" s="13"/>
    </row>
    <row r="58" spans="1:5">
      <c r="A58" s="77" t="s">
        <v>18</v>
      </c>
      <c r="B58" s="1" t="s">
        <v>25</v>
      </c>
      <c r="C58" s="1" t="s">
        <v>150</v>
      </c>
      <c r="D58" s="12">
        <v>790</v>
      </c>
      <c r="E58" s="13"/>
    </row>
    <row r="59" spans="1:5">
      <c r="A59" s="77" t="s">
        <v>18</v>
      </c>
      <c r="B59" s="1" t="s">
        <v>26</v>
      </c>
      <c r="C59" s="1" t="s">
        <v>150</v>
      </c>
      <c r="D59" s="12">
        <v>535</v>
      </c>
      <c r="E59" s="13"/>
    </row>
    <row r="60" spans="1:5">
      <c r="A60" s="77" t="s">
        <v>18</v>
      </c>
      <c r="B60" s="1" t="s">
        <v>27</v>
      </c>
      <c r="C60" s="1" t="s">
        <v>150</v>
      </c>
      <c r="D60" s="12">
        <v>569</v>
      </c>
      <c r="E60" s="13"/>
    </row>
    <row r="61" spans="1:5">
      <c r="A61" s="77" t="s">
        <v>18</v>
      </c>
      <c r="B61" s="1" t="s">
        <v>22</v>
      </c>
      <c r="C61" s="1" t="s">
        <v>150</v>
      </c>
      <c r="D61" s="12">
        <v>487</v>
      </c>
      <c r="E61" s="13"/>
    </row>
    <row r="62" spans="1:5">
      <c r="A62" s="77" t="s">
        <v>18</v>
      </c>
      <c r="B62" s="9" t="s">
        <v>20</v>
      </c>
      <c r="C62" s="1" t="s">
        <v>151</v>
      </c>
      <c r="D62" s="12">
        <v>1450</v>
      </c>
      <c r="E62" s="13"/>
    </row>
    <row r="63" spans="1:5">
      <c r="A63" s="77" t="s">
        <v>18</v>
      </c>
      <c r="B63" s="1" t="s">
        <v>21</v>
      </c>
      <c r="C63" s="1" t="s">
        <v>151</v>
      </c>
      <c r="D63" s="12">
        <v>1350</v>
      </c>
      <c r="E63" s="13"/>
    </row>
    <row r="64" spans="1:5">
      <c r="A64" s="77" t="s">
        <v>18</v>
      </c>
      <c r="B64" s="1" t="s">
        <v>22</v>
      </c>
      <c r="C64" s="1" t="s">
        <v>151</v>
      </c>
      <c r="D64" s="12">
        <v>560</v>
      </c>
      <c r="E64" s="13"/>
    </row>
    <row r="65" spans="1:5">
      <c r="A65" s="77" t="s">
        <v>18</v>
      </c>
      <c r="B65" s="4" t="s">
        <v>23</v>
      </c>
      <c r="C65" s="1" t="s">
        <v>151</v>
      </c>
      <c r="D65" s="12">
        <v>578</v>
      </c>
      <c r="E65" s="13"/>
    </row>
    <row r="66" spans="1:5">
      <c r="A66" s="77" t="s">
        <v>18</v>
      </c>
      <c r="B66" s="1" t="s">
        <v>24</v>
      </c>
      <c r="C66" s="1" t="s">
        <v>151</v>
      </c>
      <c r="D66" s="12">
        <v>948</v>
      </c>
      <c r="E66" s="13"/>
    </row>
    <row r="67" spans="1:5">
      <c r="A67" s="77" t="s">
        <v>18</v>
      </c>
      <c r="B67" s="1" t="s">
        <v>25</v>
      </c>
      <c r="C67" s="1" t="s">
        <v>151</v>
      </c>
      <c r="D67" s="12">
        <v>862</v>
      </c>
      <c r="E67" s="13"/>
    </row>
    <row r="68" spans="1:5">
      <c r="A68" s="77" t="s">
        <v>18</v>
      </c>
      <c r="B68" s="1" t="s">
        <v>26</v>
      </c>
      <c r="C68" s="1" t="s">
        <v>151</v>
      </c>
      <c r="D68" s="12">
        <v>575</v>
      </c>
      <c r="E68" s="13"/>
    </row>
    <row r="69" spans="1:5">
      <c r="A69" s="77" t="s">
        <v>18</v>
      </c>
      <c r="B69" s="1" t="s">
        <v>27</v>
      </c>
      <c r="C69" s="1" t="s">
        <v>151</v>
      </c>
      <c r="D69" s="12">
        <v>423</v>
      </c>
      <c r="E69" s="13"/>
    </row>
    <row r="70" spans="1:5">
      <c r="A70" s="77" t="s">
        <v>18</v>
      </c>
      <c r="B70" s="1" t="s">
        <v>22</v>
      </c>
      <c r="C70" s="1" t="s">
        <v>151</v>
      </c>
      <c r="D70" s="12">
        <v>538.9</v>
      </c>
      <c r="E70" s="13"/>
    </row>
    <row r="71" spans="1:5">
      <c r="A71" s="10" t="s">
        <v>31</v>
      </c>
      <c r="B71" s="10"/>
      <c r="C71" s="10"/>
      <c r="D71" s="10" t="s">
        <v>155</v>
      </c>
      <c r="E71" s="5" t="s">
        <v>14</v>
      </c>
    </row>
    <row r="72" spans="1:5">
      <c r="A72" s="77" t="s">
        <v>31</v>
      </c>
      <c r="B72" s="1" t="s">
        <v>32</v>
      </c>
      <c r="C72" s="1" t="s">
        <v>147</v>
      </c>
      <c r="D72" s="12">
        <v>300</v>
      </c>
      <c r="E72" s="13" t="s">
        <v>29</v>
      </c>
    </row>
    <row r="73" spans="1:5">
      <c r="A73" s="77" t="s">
        <v>31</v>
      </c>
      <c r="B73" s="1" t="s">
        <v>33</v>
      </c>
      <c r="C73" s="1" t="s">
        <v>147</v>
      </c>
      <c r="D73" s="17" t="s">
        <v>38</v>
      </c>
      <c r="E73" s="13" t="s">
        <v>29</v>
      </c>
    </row>
    <row r="74" spans="1:5">
      <c r="A74" s="77" t="s">
        <v>31</v>
      </c>
      <c r="B74" s="1" t="s">
        <v>34</v>
      </c>
      <c r="C74" s="1" t="s">
        <v>147</v>
      </c>
      <c r="D74" s="12">
        <v>150</v>
      </c>
      <c r="E74" s="13" t="s">
        <v>29</v>
      </c>
    </row>
    <row r="75" spans="1:5">
      <c r="A75" s="77" t="s">
        <v>31</v>
      </c>
      <c r="B75" s="1" t="s">
        <v>32</v>
      </c>
      <c r="C75" s="1" t="s">
        <v>147</v>
      </c>
      <c r="D75" s="12">
        <v>276</v>
      </c>
      <c r="E75" s="13" t="s">
        <v>30</v>
      </c>
    </row>
    <row r="76" spans="1:5">
      <c r="A76" s="77" t="s">
        <v>31</v>
      </c>
      <c r="B76" s="1" t="s">
        <v>33</v>
      </c>
      <c r="C76" s="1" t="s">
        <v>147</v>
      </c>
      <c r="D76" s="12">
        <v>281</v>
      </c>
      <c r="E76" s="13" t="s">
        <v>30</v>
      </c>
    </row>
    <row r="77" spans="1:5">
      <c r="A77" s="77" t="s">
        <v>31</v>
      </c>
      <c r="B77" s="1" t="s">
        <v>35</v>
      </c>
      <c r="C77" s="1" t="s">
        <v>147</v>
      </c>
      <c r="D77" s="12">
        <v>387</v>
      </c>
      <c r="E77" s="13" t="s">
        <v>30</v>
      </c>
    </row>
    <row r="78" spans="1:5">
      <c r="A78" s="77" t="s">
        <v>31</v>
      </c>
      <c r="B78" s="1" t="s">
        <v>36</v>
      </c>
      <c r="C78" s="1" t="s">
        <v>147</v>
      </c>
      <c r="D78" s="12">
        <v>216</v>
      </c>
      <c r="E78" s="13" t="s">
        <v>30</v>
      </c>
    </row>
    <row r="79" spans="1:5">
      <c r="A79" s="77" t="s">
        <v>31</v>
      </c>
      <c r="B79" s="1" t="s">
        <v>37</v>
      </c>
      <c r="C79" s="1" t="s">
        <v>147</v>
      </c>
      <c r="D79" s="17" t="s">
        <v>38</v>
      </c>
      <c r="E79" s="13" t="s">
        <v>30</v>
      </c>
    </row>
    <row r="80" spans="1:5">
      <c r="A80" s="77" t="s">
        <v>31</v>
      </c>
      <c r="B80" s="1" t="s">
        <v>34</v>
      </c>
      <c r="C80" s="1" t="s">
        <v>147</v>
      </c>
      <c r="D80" s="12">
        <v>212</v>
      </c>
      <c r="E80" s="13" t="s">
        <v>30</v>
      </c>
    </row>
    <row r="81" spans="1:5">
      <c r="A81" s="77" t="s">
        <v>31</v>
      </c>
      <c r="B81" s="1" t="s">
        <v>34</v>
      </c>
      <c r="C81" s="1" t="s">
        <v>147</v>
      </c>
      <c r="D81" s="12">
        <v>163</v>
      </c>
      <c r="E81" s="13" t="s">
        <v>17</v>
      </c>
    </row>
    <row r="82" spans="1:5">
      <c r="A82" s="77" t="s">
        <v>31</v>
      </c>
      <c r="B82" s="1" t="s">
        <v>32</v>
      </c>
      <c r="C82" s="1" t="s">
        <v>148</v>
      </c>
      <c r="D82" s="17" t="s">
        <v>38</v>
      </c>
      <c r="E82" s="13"/>
    </row>
    <row r="83" spans="1:5">
      <c r="A83" s="77" t="s">
        <v>31</v>
      </c>
      <c r="B83" s="1" t="s">
        <v>33</v>
      </c>
      <c r="C83" s="1" t="s">
        <v>148</v>
      </c>
      <c r="D83" s="17" t="s">
        <v>38</v>
      </c>
      <c r="E83" s="13"/>
    </row>
    <row r="84" spans="1:5">
      <c r="A84" s="77" t="s">
        <v>31</v>
      </c>
      <c r="B84" s="1" t="s">
        <v>34</v>
      </c>
      <c r="C84" s="1" t="s">
        <v>148</v>
      </c>
      <c r="D84" s="17" t="s">
        <v>38</v>
      </c>
      <c r="E84" s="13"/>
    </row>
    <row r="85" spans="1:5">
      <c r="A85" s="77" t="s">
        <v>31</v>
      </c>
      <c r="B85" s="1" t="s">
        <v>32</v>
      </c>
      <c r="C85" s="1" t="s">
        <v>148</v>
      </c>
      <c r="D85" s="17" t="s">
        <v>38</v>
      </c>
      <c r="E85" s="13"/>
    </row>
    <row r="86" spans="1:5">
      <c r="A86" s="77" t="s">
        <v>31</v>
      </c>
      <c r="B86" s="1" t="s">
        <v>33</v>
      </c>
      <c r="C86" s="1" t="s">
        <v>148</v>
      </c>
      <c r="D86" s="17" t="s">
        <v>38</v>
      </c>
      <c r="E86" s="13"/>
    </row>
    <row r="87" spans="1:5">
      <c r="A87" s="77" t="s">
        <v>31</v>
      </c>
      <c r="B87" s="1" t="s">
        <v>35</v>
      </c>
      <c r="C87" s="1" t="s">
        <v>148</v>
      </c>
      <c r="D87" s="17" t="s">
        <v>38</v>
      </c>
      <c r="E87" s="13"/>
    </row>
    <row r="88" spans="1:5">
      <c r="A88" s="77" t="s">
        <v>31</v>
      </c>
      <c r="B88" s="1" t="s">
        <v>36</v>
      </c>
      <c r="C88" s="1" t="s">
        <v>148</v>
      </c>
      <c r="D88" s="17" t="s">
        <v>38</v>
      </c>
      <c r="E88" s="13"/>
    </row>
    <row r="89" spans="1:5">
      <c r="A89" s="77" t="s">
        <v>31</v>
      </c>
      <c r="B89" s="1" t="s">
        <v>37</v>
      </c>
      <c r="C89" s="1" t="s">
        <v>148</v>
      </c>
      <c r="D89" s="17" t="s">
        <v>38</v>
      </c>
      <c r="E89" s="13"/>
    </row>
    <row r="90" spans="1:5">
      <c r="A90" s="77" t="s">
        <v>31</v>
      </c>
      <c r="B90" s="1" t="s">
        <v>34</v>
      </c>
      <c r="C90" s="1" t="s">
        <v>148</v>
      </c>
      <c r="D90" s="17">
        <v>176</v>
      </c>
      <c r="E90" s="13"/>
    </row>
    <row r="91" spans="1:5">
      <c r="A91" s="77" t="s">
        <v>31</v>
      </c>
      <c r="B91" s="1" t="s">
        <v>34</v>
      </c>
      <c r="C91" s="1" t="s">
        <v>148</v>
      </c>
      <c r="D91" s="12">
        <v>225</v>
      </c>
      <c r="E91" s="13"/>
    </row>
    <row r="92" spans="1:5">
      <c r="A92" s="77" t="s">
        <v>31</v>
      </c>
      <c r="B92" s="1" t="s">
        <v>32</v>
      </c>
      <c r="C92" s="1" t="s">
        <v>149</v>
      </c>
      <c r="D92" s="12">
        <v>700</v>
      </c>
      <c r="E92" s="13"/>
    </row>
    <row r="93" spans="1:5">
      <c r="A93" s="77" t="s">
        <v>31</v>
      </c>
      <c r="B93" s="1" t="s">
        <v>33</v>
      </c>
      <c r="C93" s="1" t="s">
        <v>149</v>
      </c>
      <c r="D93" s="17" t="s">
        <v>38</v>
      </c>
      <c r="E93" s="13"/>
    </row>
    <row r="94" spans="1:5">
      <c r="A94" s="77" t="s">
        <v>31</v>
      </c>
      <c r="B94" s="1" t="s">
        <v>34</v>
      </c>
      <c r="C94" s="1" t="s">
        <v>149</v>
      </c>
      <c r="D94" s="12">
        <v>260</v>
      </c>
      <c r="E94" s="13"/>
    </row>
    <row r="95" spans="1:5">
      <c r="A95" s="77" t="s">
        <v>31</v>
      </c>
      <c r="B95" s="1" t="s">
        <v>32</v>
      </c>
      <c r="C95" s="1" t="s">
        <v>149</v>
      </c>
      <c r="D95" s="12">
        <v>482</v>
      </c>
      <c r="E95" s="13"/>
    </row>
    <row r="96" spans="1:5">
      <c r="A96" s="77" t="s">
        <v>31</v>
      </c>
      <c r="B96" s="1" t="s">
        <v>33</v>
      </c>
      <c r="C96" s="1" t="s">
        <v>149</v>
      </c>
      <c r="D96" s="17" t="s">
        <v>38</v>
      </c>
      <c r="E96" s="13"/>
    </row>
    <row r="97" spans="1:5">
      <c r="A97" s="77" t="s">
        <v>31</v>
      </c>
      <c r="B97" s="1" t="s">
        <v>35</v>
      </c>
      <c r="C97" s="1" t="s">
        <v>149</v>
      </c>
      <c r="D97" s="17" t="s">
        <v>38</v>
      </c>
      <c r="E97" s="13"/>
    </row>
    <row r="98" spans="1:5">
      <c r="A98" s="77" t="s">
        <v>31</v>
      </c>
      <c r="B98" s="1" t="s">
        <v>36</v>
      </c>
      <c r="C98" s="1" t="s">
        <v>149</v>
      </c>
      <c r="D98" s="17">
        <v>470</v>
      </c>
      <c r="E98" s="13"/>
    </row>
    <row r="99" spans="1:5">
      <c r="A99" s="77" t="s">
        <v>31</v>
      </c>
      <c r="B99" s="1" t="s">
        <v>37</v>
      </c>
      <c r="C99" s="1" t="s">
        <v>149</v>
      </c>
      <c r="D99" s="17">
        <v>425</v>
      </c>
      <c r="E99" s="13"/>
    </row>
    <row r="100" spans="1:5">
      <c r="A100" s="77" t="s">
        <v>31</v>
      </c>
      <c r="B100" s="1" t="s">
        <v>34</v>
      </c>
      <c r="C100" s="1" t="s">
        <v>149</v>
      </c>
      <c r="D100" s="17">
        <v>202</v>
      </c>
      <c r="E100" s="13"/>
    </row>
    <row r="101" spans="1:5">
      <c r="A101" s="77" t="s">
        <v>31</v>
      </c>
      <c r="B101" s="1" t="s">
        <v>34</v>
      </c>
      <c r="C101" s="1" t="s">
        <v>149</v>
      </c>
      <c r="D101" s="12">
        <v>253</v>
      </c>
      <c r="E101" s="13"/>
    </row>
    <row r="102" spans="1:5">
      <c r="A102" s="77" t="s">
        <v>31</v>
      </c>
      <c r="B102" s="1" t="s">
        <v>32</v>
      </c>
      <c r="C102" s="1" t="s">
        <v>150</v>
      </c>
      <c r="D102" s="17" t="s">
        <v>39</v>
      </c>
      <c r="E102" s="13"/>
    </row>
    <row r="103" spans="1:5">
      <c r="A103" s="77" t="s">
        <v>31</v>
      </c>
      <c r="B103" s="1" t="s">
        <v>33</v>
      </c>
      <c r="C103" s="1" t="s">
        <v>150</v>
      </c>
      <c r="D103" s="17" t="s">
        <v>39</v>
      </c>
      <c r="E103" s="13"/>
    </row>
    <row r="104" spans="1:5">
      <c r="A104" s="77" t="s">
        <v>31</v>
      </c>
      <c r="B104" s="1" t="s">
        <v>34</v>
      </c>
      <c r="C104" s="1" t="s">
        <v>150</v>
      </c>
      <c r="D104" s="17" t="s">
        <v>39</v>
      </c>
      <c r="E104" s="13"/>
    </row>
    <row r="105" spans="1:5">
      <c r="A105" s="77" t="s">
        <v>31</v>
      </c>
      <c r="B105" s="1" t="s">
        <v>32</v>
      </c>
      <c r="C105" s="1" t="s">
        <v>150</v>
      </c>
      <c r="D105" s="17">
        <v>535</v>
      </c>
      <c r="E105" s="13"/>
    </row>
    <row r="106" spans="1:5">
      <c r="A106" s="77" t="s">
        <v>31</v>
      </c>
      <c r="B106" s="1" t="s">
        <v>33</v>
      </c>
      <c r="C106" s="1" t="s">
        <v>150</v>
      </c>
      <c r="D106" s="17">
        <v>845</v>
      </c>
      <c r="E106" s="13"/>
    </row>
    <row r="107" spans="1:5">
      <c r="A107" s="77" t="s">
        <v>31</v>
      </c>
      <c r="B107" s="1" t="s">
        <v>35</v>
      </c>
      <c r="C107" s="1" t="s">
        <v>150</v>
      </c>
      <c r="D107" s="17">
        <v>789</v>
      </c>
      <c r="E107" s="13"/>
    </row>
    <row r="108" spans="1:5">
      <c r="A108" s="77" t="s">
        <v>31</v>
      </c>
      <c r="B108" s="1" t="s">
        <v>36</v>
      </c>
      <c r="C108" s="1" t="s">
        <v>150</v>
      </c>
      <c r="D108" s="17">
        <v>526</v>
      </c>
      <c r="E108" s="13"/>
    </row>
    <row r="109" spans="1:5">
      <c r="A109" s="77" t="s">
        <v>31</v>
      </c>
      <c r="B109" s="1" t="s">
        <v>37</v>
      </c>
      <c r="C109" s="1" t="s">
        <v>150</v>
      </c>
      <c r="D109" s="17">
        <v>4830</v>
      </c>
      <c r="E109" s="13"/>
    </row>
    <row r="110" spans="1:5">
      <c r="A110" s="77" t="s">
        <v>31</v>
      </c>
      <c r="B110" s="1" t="s">
        <v>34</v>
      </c>
      <c r="C110" s="1" t="s">
        <v>150</v>
      </c>
      <c r="D110" s="17">
        <v>281</v>
      </c>
      <c r="E110" s="13"/>
    </row>
    <row r="111" spans="1:5">
      <c r="A111" s="77" t="s">
        <v>31</v>
      </c>
      <c r="B111" s="1" t="s">
        <v>34</v>
      </c>
      <c r="C111" s="1" t="s">
        <v>150</v>
      </c>
      <c r="D111" s="12">
        <v>318</v>
      </c>
      <c r="E111" s="13"/>
    </row>
    <row r="112" spans="1:5">
      <c r="A112" s="77" t="s">
        <v>31</v>
      </c>
      <c r="B112" s="1" t="s">
        <v>32</v>
      </c>
      <c r="C112" s="1" t="s">
        <v>151</v>
      </c>
      <c r="D112" s="12">
        <v>950</v>
      </c>
      <c r="E112" s="13"/>
    </row>
    <row r="113" spans="1:5">
      <c r="A113" s="77" t="s">
        <v>31</v>
      </c>
      <c r="B113" s="1" t="s">
        <v>33</v>
      </c>
      <c r="C113" s="1" t="s">
        <v>151</v>
      </c>
      <c r="D113" s="12">
        <v>1250</v>
      </c>
      <c r="E113" s="13"/>
    </row>
    <row r="114" spans="1:5">
      <c r="A114" s="77" t="s">
        <v>31</v>
      </c>
      <c r="B114" s="1" t="s">
        <v>34</v>
      </c>
      <c r="C114" s="1" t="s">
        <v>151</v>
      </c>
      <c r="D114" s="12">
        <v>360</v>
      </c>
      <c r="E114" s="13"/>
    </row>
    <row r="115" spans="1:5">
      <c r="A115" s="77" t="s">
        <v>31</v>
      </c>
      <c r="B115" s="1" t="s">
        <v>32</v>
      </c>
      <c r="C115" s="1" t="s">
        <v>151</v>
      </c>
      <c r="D115" s="12">
        <v>770</v>
      </c>
      <c r="E115" s="13"/>
    </row>
    <row r="116" spans="1:5">
      <c r="A116" s="77" t="s">
        <v>31</v>
      </c>
      <c r="B116" s="1" t="s">
        <v>33</v>
      </c>
      <c r="C116" s="1" t="s">
        <v>151</v>
      </c>
      <c r="D116" s="12">
        <v>1100</v>
      </c>
      <c r="E116" s="13"/>
    </row>
    <row r="117" spans="1:5">
      <c r="A117" s="77" t="s">
        <v>31</v>
      </c>
      <c r="B117" s="1" t="s">
        <v>35</v>
      </c>
      <c r="C117" s="1" t="s">
        <v>151</v>
      </c>
      <c r="D117" s="17" t="s">
        <v>39</v>
      </c>
      <c r="E117" s="13"/>
    </row>
    <row r="118" spans="1:5">
      <c r="A118" s="77" t="s">
        <v>31</v>
      </c>
      <c r="B118" s="1" t="s">
        <v>36</v>
      </c>
      <c r="C118" s="1" t="s">
        <v>151</v>
      </c>
      <c r="D118" s="12">
        <v>574</v>
      </c>
      <c r="E118" s="13"/>
    </row>
    <row r="119" spans="1:5">
      <c r="A119" s="77" t="s">
        <v>31</v>
      </c>
      <c r="B119" s="1" t="s">
        <v>37</v>
      </c>
      <c r="C119" s="1" t="s">
        <v>151</v>
      </c>
      <c r="D119" s="12">
        <v>548</v>
      </c>
      <c r="E119" s="13"/>
    </row>
    <row r="120" spans="1:5">
      <c r="A120" s="77" t="s">
        <v>31</v>
      </c>
      <c r="B120" s="1" t="s">
        <v>34</v>
      </c>
      <c r="C120" s="1" t="s">
        <v>151</v>
      </c>
      <c r="D120" s="12">
        <v>293</v>
      </c>
      <c r="E120" s="13"/>
    </row>
    <row r="121" spans="1:5">
      <c r="A121" s="77" t="s">
        <v>31</v>
      </c>
      <c r="B121" s="1" t="s">
        <v>34</v>
      </c>
      <c r="C121" s="1" t="s">
        <v>151</v>
      </c>
      <c r="D121" s="12">
        <v>382</v>
      </c>
      <c r="E121" s="13"/>
    </row>
    <row r="122" spans="1:5">
      <c r="A122" s="10" t="s">
        <v>70</v>
      </c>
      <c r="B122" s="10"/>
      <c r="C122" s="10"/>
      <c r="D122" s="10" t="s">
        <v>157</v>
      </c>
      <c r="E122" s="10" t="s">
        <v>14</v>
      </c>
    </row>
    <row r="123" spans="1:5">
      <c r="A123" s="77" t="s">
        <v>70</v>
      </c>
      <c r="B123" s="4" t="s">
        <v>72</v>
      </c>
      <c r="C123" s="4" t="s">
        <v>152</v>
      </c>
      <c r="D123" s="12">
        <v>3.87</v>
      </c>
      <c r="E123" s="20" t="s">
        <v>73</v>
      </c>
    </row>
    <row r="124" spans="1:5">
      <c r="A124" s="77" t="s">
        <v>70</v>
      </c>
      <c r="B124" s="4" t="s">
        <v>71</v>
      </c>
      <c r="C124" s="4" t="s">
        <v>152</v>
      </c>
      <c r="D124" s="12">
        <v>3.18</v>
      </c>
      <c r="E124" s="20" t="s">
        <v>73</v>
      </c>
    </row>
    <row r="125" spans="1:5">
      <c r="A125" s="77" t="s">
        <v>70</v>
      </c>
      <c r="B125" s="4" t="s">
        <v>72</v>
      </c>
      <c r="C125" s="4" t="s">
        <v>153</v>
      </c>
      <c r="D125" s="12">
        <v>4.5599999999999996</v>
      </c>
      <c r="E125" s="20" t="s">
        <v>73</v>
      </c>
    </row>
    <row r="126" spans="1:5">
      <c r="A126" s="77" t="s">
        <v>70</v>
      </c>
      <c r="B126" s="4" t="s">
        <v>71</v>
      </c>
      <c r="C126" s="4" t="s">
        <v>153</v>
      </c>
      <c r="D126" s="12">
        <v>3.79</v>
      </c>
      <c r="E126" s="20" t="s">
        <v>73</v>
      </c>
    </row>
    <row r="127" spans="1:5">
      <c r="A127" s="77" t="s">
        <v>70</v>
      </c>
      <c r="B127" s="4" t="s">
        <v>72</v>
      </c>
      <c r="C127" s="4" t="s">
        <v>154</v>
      </c>
      <c r="D127" s="12">
        <v>5.94</v>
      </c>
      <c r="E127" s="20" t="s">
        <v>73</v>
      </c>
    </row>
    <row r="128" spans="1:5">
      <c r="A128" s="77" t="s">
        <v>70</v>
      </c>
      <c r="B128" s="4" t="s">
        <v>71</v>
      </c>
      <c r="C128" s="4" t="s">
        <v>154</v>
      </c>
      <c r="D128" s="12">
        <v>5</v>
      </c>
      <c r="E128" s="20" t="s">
        <v>73</v>
      </c>
    </row>
    <row r="129" spans="1:5">
      <c r="A129" s="18" t="s">
        <v>44</v>
      </c>
      <c r="B129" s="18" t="s">
        <v>41</v>
      </c>
      <c r="C129" s="18"/>
      <c r="D129" s="18" t="s">
        <v>42</v>
      </c>
      <c r="E129" s="18" t="s">
        <v>14</v>
      </c>
    </row>
    <row r="130" spans="1:5">
      <c r="A130" s="78" t="s">
        <v>40</v>
      </c>
      <c r="B130" s="19" t="s">
        <v>43</v>
      </c>
      <c r="C130" s="19" t="s">
        <v>158</v>
      </c>
      <c r="D130" s="12">
        <v>10.35</v>
      </c>
      <c r="E130" s="13" t="s">
        <v>73</v>
      </c>
    </row>
    <row r="131" spans="1:5">
      <c r="A131" s="78" t="s">
        <v>40</v>
      </c>
      <c r="B131" s="19" t="s">
        <v>45</v>
      </c>
      <c r="C131" s="19">
        <v>30</v>
      </c>
      <c r="D131" s="12">
        <v>25.86</v>
      </c>
      <c r="E131" s="13" t="s">
        <v>73</v>
      </c>
    </row>
    <row r="132" spans="1:5">
      <c r="A132" s="78" t="s">
        <v>40</v>
      </c>
      <c r="B132" s="19" t="s">
        <v>46</v>
      </c>
      <c r="C132" s="19">
        <v>35</v>
      </c>
      <c r="D132" s="12">
        <v>30.17</v>
      </c>
      <c r="E132" s="13" t="s">
        <v>73</v>
      </c>
    </row>
    <row r="133" spans="1:5">
      <c r="A133" s="78" t="s">
        <v>40</v>
      </c>
      <c r="B133" s="19" t="s">
        <v>47</v>
      </c>
      <c r="C133" s="19">
        <v>40</v>
      </c>
      <c r="D133" s="12">
        <v>34.479999999999997</v>
      </c>
      <c r="E133" s="13" t="s">
        <v>73</v>
      </c>
    </row>
    <row r="134" spans="1:5">
      <c r="A134" s="78" t="s">
        <v>40</v>
      </c>
      <c r="B134" s="19" t="s">
        <v>48</v>
      </c>
      <c r="C134" s="19">
        <v>45</v>
      </c>
      <c r="D134" s="12">
        <v>38.79</v>
      </c>
      <c r="E134" s="13" t="s">
        <v>73</v>
      </c>
    </row>
    <row r="135" spans="1:5">
      <c r="A135" s="78" t="s">
        <v>40</v>
      </c>
      <c r="B135" s="19" t="s">
        <v>49</v>
      </c>
      <c r="C135" s="19">
        <v>50</v>
      </c>
      <c r="D135" s="12">
        <v>43.1</v>
      </c>
      <c r="E135" s="13" t="s">
        <v>73</v>
      </c>
    </row>
    <row r="136" spans="1:5">
      <c r="A136" s="78" t="s">
        <v>54</v>
      </c>
      <c r="B136" s="19" t="s">
        <v>84</v>
      </c>
      <c r="C136" s="19" t="s">
        <v>159</v>
      </c>
      <c r="D136" s="12">
        <v>93.97</v>
      </c>
      <c r="E136" s="13" t="s">
        <v>73</v>
      </c>
    </row>
    <row r="137" spans="1:5">
      <c r="A137" s="78" t="s">
        <v>54</v>
      </c>
      <c r="B137" s="19" t="s">
        <v>74</v>
      </c>
      <c r="C137" s="19" t="s">
        <v>159</v>
      </c>
      <c r="D137" s="75">
        <v>400</v>
      </c>
      <c r="E137" s="13" t="s">
        <v>83</v>
      </c>
    </row>
    <row r="138" spans="1:5">
      <c r="A138" s="78" t="s">
        <v>54</v>
      </c>
      <c r="B138" s="19" t="s">
        <v>75</v>
      </c>
      <c r="C138" s="19" t="s">
        <v>159</v>
      </c>
      <c r="D138" s="12">
        <v>165</v>
      </c>
      <c r="E138" s="13" t="s">
        <v>83</v>
      </c>
    </row>
    <row r="139" spans="1:5">
      <c r="A139" s="78" t="s">
        <v>54</v>
      </c>
      <c r="B139" s="19" t="s">
        <v>75</v>
      </c>
      <c r="C139" s="19" t="s">
        <v>159</v>
      </c>
      <c r="D139" s="12">
        <v>119.83</v>
      </c>
      <c r="E139" s="13" t="s">
        <v>73</v>
      </c>
    </row>
    <row r="140" spans="1:5">
      <c r="A140" s="78" t="s">
        <v>54</v>
      </c>
      <c r="B140" s="19" t="s">
        <v>76</v>
      </c>
      <c r="C140" s="19" t="s">
        <v>159</v>
      </c>
      <c r="D140" s="12">
        <v>97.41</v>
      </c>
      <c r="E140" s="13" t="s">
        <v>73</v>
      </c>
    </row>
    <row r="141" spans="1:5">
      <c r="A141" s="78" t="s">
        <v>54</v>
      </c>
      <c r="B141" s="19" t="s">
        <v>76</v>
      </c>
      <c r="C141" s="19" t="s">
        <v>159</v>
      </c>
      <c r="D141" s="12">
        <v>130.5</v>
      </c>
      <c r="E141" s="13" t="s">
        <v>83</v>
      </c>
    </row>
    <row r="142" spans="1:5">
      <c r="A142" s="78" t="s">
        <v>54</v>
      </c>
      <c r="B142" s="19" t="s">
        <v>77</v>
      </c>
      <c r="C142" s="19" t="s">
        <v>159</v>
      </c>
      <c r="D142" s="12">
        <v>122.41</v>
      </c>
      <c r="E142" s="13" t="s">
        <v>73</v>
      </c>
    </row>
    <row r="143" spans="1:5">
      <c r="A143" s="78" t="s">
        <v>54</v>
      </c>
      <c r="B143" s="19" t="s">
        <v>50</v>
      </c>
      <c r="C143" s="19" t="s">
        <v>159</v>
      </c>
      <c r="D143" s="75"/>
      <c r="E143" s="13" t="s">
        <v>73</v>
      </c>
    </row>
    <row r="144" spans="1:5">
      <c r="A144" s="78" t="s">
        <v>54</v>
      </c>
      <c r="B144" s="19" t="s">
        <v>78</v>
      </c>
      <c r="C144" s="19" t="s">
        <v>159</v>
      </c>
      <c r="D144" s="12">
        <v>18.97</v>
      </c>
      <c r="E144" s="13" t="s">
        <v>73</v>
      </c>
    </row>
    <row r="145" spans="1:5">
      <c r="A145" s="78" t="s">
        <v>54</v>
      </c>
      <c r="B145" s="19" t="s">
        <v>79</v>
      </c>
      <c r="C145" s="73" t="s">
        <v>160</v>
      </c>
      <c r="D145" s="12">
        <v>1422.41</v>
      </c>
      <c r="E145" s="13" t="s">
        <v>73</v>
      </c>
    </row>
    <row r="146" spans="1:5">
      <c r="A146" s="78" t="s">
        <v>54</v>
      </c>
      <c r="B146" s="19" t="s">
        <v>80</v>
      </c>
      <c r="C146" s="73" t="s">
        <v>160</v>
      </c>
      <c r="D146" s="12">
        <v>1525.86</v>
      </c>
      <c r="E146" s="13" t="s">
        <v>73</v>
      </c>
    </row>
    <row r="147" spans="1:5">
      <c r="A147" s="78" t="s">
        <v>54</v>
      </c>
      <c r="B147" s="19" t="s">
        <v>85</v>
      </c>
      <c r="C147" s="73" t="s">
        <v>160</v>
      </c>
      <c r="D147" s="75">
        <v>1017.24</v>
      </c>
      <c r="E147" s="13" t="s">
        <v>73</v>
      </c>
    </row>
    <row r="148" spans="1:5">
      <c r="A148" s="78" t="s">
        <v>54</v>
      </c>
      <c r="B148" s="19" t="s">
        <v>86</v>
      </c>
      <c r="C148" s="73" t="s">
        <v>161</v>
      </c>
      <c r="D148" s="12">
        <v>366.38</v>
      </c>
      <c r="E148" s="13" t="s">
        <v>73</v>
      </c>
    </row>
    <row r="149" spans="1:5">
      <c r="A149" s="78" t="s">
        <v>54</v>
      </c>
      <c r="B149" s="19" t="s">
        <v>53</v>
      </c>
      <c r="C149" s="73">
        <v>60</v>
      </c>
      <c r="D149" s="75">
        <v>5.6</v>
      </c>
      <c r="E149" s="13" t="s">
        <v>73</v>
      </c>
    </row>
    <row r="150" spans="1:5">
      <c r="A150" s="78" t="s">
        <v>54</v>
      </c>
      <c r="B150" s="19" t="s">
        <v>52</v>
      </c>
      <c r="C150" s="73">
        <v>80</v>
      </c>
      <c r="D150" s="75">
        <v>5.6</v>
      </c>
      <c r="E150" s="13" t="s">
        <v>73</v>
      </c>
    </row>
    <row r="151" spans="1:5">
      <c r="A151" s="78" t="s">
        <v>54</v>
      </c>
      <c r="B151" s="19" t="s">
        <v>88</v>
      </c>
      <c r="C151" s="73">
        <v>120</v>
      </c>
      <c r="D151" s="75">
        <v>5.17</v>
      </c>
      <c r="E151" s="13" t="s">
        <v>73</v>
      </c>
    </row>
    <row r="152" spans="1:5">
      <c r="A152" s="78" t="s">
        <v>54</v>
      </c>
      <c r="B152" s="19" t="s">
        <v>51</v>
      </c>
      <c r="C152" s="73">
        <v>220</v>
      </c>
      <c r="D152" s="75">
        <v>5.17</v>
      </c>
      <c r="E152" s="13" t="s">
        <v>73</v>
      </c>
    </row>
    <row r="153" spans="1:5">
      <c r="A153" s="78" t="s">
        <v>54</v>
      </c>
      <c r="B153" s="19" t="s">
        <v>87</v>
      </c>
      <c r="C153" s="73">
        <v>320</v>
      </c>
      <c r="D153" s="75">
        <v>5.17</v>
      </c>
      <c r="E153" s="13" t="s">
        <v>73</v>
      </c>
    </row>
    <row r="154" spans="1:5">
      <c r="A154" s="78" t="s">
        <v>54</v>
      </c>
      <c r="B154" s="21" t="s">
        <v>81</v>
      </c>
      <c r="C154" s="74">
        <v>2000</v>
      </c>
      <c r="D154" s="75">
        <v>12.07</v>
      </c>
      <c r="E154" s="13" t="s">
        <v>73</v>
      </c>
    </row>
    <row r="155" spans="1:5">
      <c r="A155" s="78" t="s">
        <v>54</v>
      </c>
      <c r="B155" s="19" t="s">
        <v>82</v>
      </c>
      <c r="C155" s="73">
        <v>15000</v>
      </c>
      <c r="D155" s="75">
        <v>12.07</v>
      </c>
      <c r="E155" s="13" t="s">
        <v>73</v>
      </c>
    </row>
    <row r="156" spans="1:5">
      <c r="A156" s="78" t="s">
        <v>69</v>
      </c>
      <c r="B156" s="19" t="s">
        <v>55</v>
      </c>
      <c r="C156" s="19" t="s">
        <v>162</v>
      </c>
      <c r="D156" s="75"/>
      <c r="E156" s="13" t="s">
        <v>73</v>
      </c>
    </row>
    <row r="157" spans="1:5">
      <c r="A157" s="78" t="s">
        <v>69</v>
      </c>
      <c r="B157" s="19" t="s">
        <v>61</v>
      </c>
      <c r="C157" s="19" t="s">
        <v>163</v>
      </c>
      <c r="D157" s="75"/>
      <c r="E157" s="13" t="s">
        <v>73</v>
      </c>
    </row>
    <row r="158" spans="1:5">
      <c r="A158" s="78" t="s">
        <v>69</v>
      </c>
      <c r="B158" s="19" t="s">
        <v>56</v>
      </c>
      <c r="C158" s="19" t="s">
        <v>145</v>
      </c>
      <c r="D158" s="75"/>
      <c r="E158" s="13" t="s">
        <v>73</v>
      </c>
    </row>
    <row r="159" spans="1:5">
      <c r="A159" s="78" t="s">
        <v>69</v>
      </c>
      <c r="B159" s="19" t="s">
        <v>57</v>
      </c>
      <c r="C159" s="19" t="s">
        <v>164</v>
      </c>
      <c r="D159" s="75"/>
      <c r="E159" s="13" t="s">
        <v>73</v>
      </c>
    </row>
    <row r="160" spans="1:5">
      <c r="A160" s="78" t="s">
        <v>69</v>
      </c>
      <c r="B160" s="19" t="s">
        <v>60</v>
      </c>
      <c r="C160" s="19" t="s">
        <v>165</v>
      </c>
      <c r="D160" s="75"/>
      <c r="E160" s="13" t="s">
        <v>73</v>
      </c>
    </row>
    <row r="161" spans="1:5">
      <c r="A161" s="78" t="s">
        <v>69</v>
      </c>
      <c r="B161" s="19" t="s">
        <v>59</v>
      </c>
      <c r="C161" s="19" t="s">
        <v>166</v>
      </c>
      <c r="D161" s="75"/>
      <c r="E161" s="13" t="s">
        <v>73</v>
      </c>
    </row>
    <row r="162" spans="1:5">
      <c r="A162" s="78" t="s">
        <v>69</v>
      </c>
      <c r="B162" s="19" t="s">
        <v>58</v>
      </c>
      <c r="C162" s="19" t="s">
        <v>167</v>
      </c>
      <c r="D162" s="75">
        <v>18.100000000000001</v>
      </c>
      <c r="E162" s="13" t="s">
        <v>73</v>
      </c>
    </row>
    <row r="163" spans="1:5">
      <c r="A163" s="78" t="s">
        <v>69</v>
      </c>
      <c r="B163" s="19" t="s">
        <v>142</v>
      </c>
      <c r="C163" s="19" t="s">
        <v>168</v>
      </c>
      <c r="D163" s="75">
        <v>1</v>
      </c>
      <c r="E163" s="13" t="s">
        <v>73</v>
      </c>
    </row>
    <row r="164" spans="1:5">
      <c r="A164" s="78" t="s">
        <v>69</v>
      </c>
      <c r="B164" s="19" t="s">
        <v>62</v>
      </c>
      <c r="C164" s="19" t="s">
        <v>162</v>
      </c>
      <c r="D164" s="75"/>
      <c r="E164" s="13" t="s">
        <v>73</v>
      </c>
    </row>
    <row r="165" spans="1:5">
      <c r="A165" s="78" t="s">
        <v>69</v>
      </c>
      <c r="B165" s="19" t="s">
        <v>63</v>
      </c>
      <c r="C165" s="19" t="s">
        <v>169</v>
      </c>
      <c r="D165" s="75">
        <v>9.48</v>
      </c>
      <c r="E165" s="13" t="s">
        <v>73</v>
      </c>
    </row>
    <row r="166" spans="1:5">
      <c r="A166" s="78" t="s">
        <v>69</v>
      </c>
      <c r="B166" s="19" t="s">
        <v>64</v>
      </c>
      <c r="C166" s="19" t="s">
        <v>170</v>
      </c>
      <c r="D166" s="75">
        <v>11.2</v>
      </c>
      <c r="E166" s="13" t="s">
        <v>73</v>
      </c>
    </row>
    <row r="167" spans="1:5">
      <c r="A167" s="78" t="s">
        <v>69</v>
      </c>
      <c r="B167" s="19" t="s">
        <v>65</v>
      </c>
      <c r="C167" s="19" t="s">
        <v>164</v>
      </c>
      <c r="D167" s="75">
        <v>12.93</v>
      </c>
      <c r="E167" s="13" t="s">
        <v>73</v>
      </c>
    </row>
    <row r="168" spans="1:5">
      <c r="A168" s="78" t="s">
        <v>69</v>
      </c>
      <c r="B168" s="19" t="s">
        <v>66</v>
      </c>
      <c r="C168" s="19" t="s">
        <v>165</v>
      </c>
      <c r="D168" s="75"/>
      <c r="E168" s="13" t="s">
        <v>73</v>
      </c>
    </row>
    <row r="169" spans="1:5">
      <c r="A169" s="78" t="s">
        <v>69</v>
      </c>
      <c r="B169" s="19" t="s">
        <v>67</v>
      </c>
      <c r="C169" s="19" t="s">
        <v>166</v>
      </c>
      <c r="D169" s="75"/>
      <c r="E169" s="13" t="s">
        <v>73</v>
      </c>
    </row>
    <row r="170" spans="1:5">
      <c r="A170" s="78" t="s">
        <v>69</v>
      </c>
      <c r="B170" s="19" t="s">
        <v>68</v>
      </c>
      <c r="C170" s="19" t="s">
        <v>146</v>
      </c>
      <c r="D170" s="75"/>
      <c r="E170" s="13" t="s">
        <v>73</v>
      </c>
    </row>
    <row r="173" spans="1:5">
      <c r="C173" s="76"/>
    </row>
  </sheetData>
  <mergeCells count="1">
    <mergeCell ref="A1:Q1"/>
  </mergeCells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A1:L69"/>
  <sheetViews>
    <sheetView tabSelected="1" zoomScale="59" zoomScaleNormal="59" workbookViewId="0">
      <selection activeCell="I28" sqref="I28"/>
    </sheetView>
  </sheetViews>
  <sheetFormatPr baseColWidth="10" defaultRowHeight="15"/>
  <cols>
    <col min="1" max="1" width="42.28515625" style="99" customWidth="1"/>
    <col min="2" max="2" width="14.28515625" style="99" customWidth="1"/>
    <col min="3" max="3" width="23.28515625" style="99" customWidth="1"/>
    <col min="4" max="4" width="21.85546875" style="99" customWidth="1"/>
    <col min="5" max="5" width="18.5703125" style="99" customWidth="1"/>
    <col min="6" max="6" width="26.28515625" style="99" customWidth="1"/>
    <col min="7" max="7" width="29" style="99" customWidth="1"/>
    <col min="8" max="8" width="19.5703125" style="99" customWidth="1"/>
    <col min="9" max="9" width="17.28515625" style="99" customWidth="1"/>
    <col min="10" max="16384" width="11.42578125" style="99"/>
  </cols>
  <sheetData>
    <row r="1" spans="1:9" ht="15.75">
      <c r="A1" s="113"/>
      <c r="B1" s="113"/>
      <c r="C1" s="113"/>
      <c r="D1" s="113"/>
      <c r="E1" s="113"/>
      <c r="F1" s="113"/>
      <c r="G1" s="113"/>
    </row>
    <row r="2" spans="1:9" ht="15.75">
      <c r="A2" s="114" t="s">
        <v>89</v>
      </c>
      <c r="B2" s="114"/>
      <c r="C2" s="114"/>
      <c r="D2" s="114"/>
      <c r="E2" s="114"/>
      <c r="F2" s="114"/>
      <c r="G2" s="114"/>
    </row>
    <row r="3" spans="1:9" ht="15.75">
      <c r="A3" s="22"/>
      <c r="B3" s="22"/>
      <c r="C3" s="22"/>
      <c r="D3" s="22"/>
      <c r="E3" s="22"/>
      <c r="F3" s="22"/>
      <c r="G3" s="11"/>
    </row>
    <row r="4" spans="1:9" ht="15.75">
      <c r="A4" s="115" t="s">
        <v>90</v>
      </c>
      <c r="B4" s="116"/>
      <c r="C4" s="116"/>
      <c r="D4" s="116"/>
      <c r="E4" s="117"/>
      <c r="F4" s="83"/>
      <c r="G4" s="23"/>
    </row>
    <row r="5" spans="1:9" ht="15.75">
      <c r="A5" s="24" t="s">
        <v>91</v>
      </c>
      <c r="B5" s="25" t="s">
        <v>92</v>
      </c>
      <c r="C5" s="25" t="s">
        <v>93</v>
      </c>
      <c r="D5" s="25" t="s">
        <v>94</v>
      </c>
      <c r="E5" s="24" t="s">
        <v>95</v>
      </c>
      <c r="F5" s="66"/>
      <c r="G5" s="23"/>
    </row>
    <row r="6" spans="1:9">
      <c r="A6" s="26" t="s">
        <v>90</v>
      </c>
      <c r="B6" s="27" t="s">
        <v>96</v>
      </c>
      <c r="C6" s="28">
        <v>0</v>
      </c>
      <c r="D6" s="29">
        <v>400</v>
      </c>
      <c r="E6" s="30">
        <f>D6*C6</f>
        <v>0</v>
      </c>
      <c r="F6" s="67"/>
      <c r="G6" s="23"/>
    </row>
    <row r="7" spans="1:9" ht="15.75">
      <c r="A7" s="80"/>
      <c r="B7" s="31"/>
      <c r="D7" s="25" t="s">
        <v>97</v>
      </c>
      <c r="E7" s="32">
        <f>E6</f>
        <v>0</v>
      </c>
      <c r="F7" s="38"/>
      <c r="G7" s="80"/>
    </row>
    <row r="8" spans="1:9" ht="15.75">
      <c r="A8" s="80"/>
      <c r="B8" s="80"/>
      <c r="C8" s="93"/>
      <c r="D8" s="33"/>
      <c r="E8" s="33"/>
      <c r="F8" s="33"/>
      <c r="G8" s="80"/>
    </row>
    <row r="9" spans="1:9" ht="15.75">
      <c r="A9" s="118" t="s">
        <v>89</v>
      </c>
      <c r="B9" s="119"/>
      <c r="C9" s="119"/>
      <c r="D9" s="119"/>
      <c r="E9" s="119"/>
      <c r="F9" s="119"/>
      <c r="G9" s="119"/>
      <c r="H9" s="119"/>
      <c r="I9" s="120"/>
    </row>
    <row r="10" spans="1:9" ht="15.75">
      <c r="A10" s="24" t="s">
        <v>98</v>
      </c>
      <c r="B10" s="25" t="s">
        <v>92</v>
      </c>
      <c r="C10" s="25" t="s">
        <v>93</v>
      </c>
      <c r="D10" s="25" t="s">
        <v>94</v>
      </c>
      <c r="E10" s="24" t="s">
        <v>95</v>
      </c>
      <c r="F10" s="24" t="s">
        <v>143</v>
      </c>
      <c r="G10" s="28" t="s">
        <v>99</v>
      </c>
      <c r="H10" s="28" t="s">
        <v>100</v>
      </c>
      <c r="I10" s="28" t="s">
        <v>101</v>
      </c>
    </row>
    <row r="11" spans="1:9">
      <c r="A11" s="34" t="s">
        <v>31</v>
      </c>
      <c r="B11" s="29" t="s">
        <v>103</v>
      </c>
      <c r="C11" s="35" t="s">
        <v>189</v>
      </c>
      <c r="D11" s="29">
        <v>150</v>
      </c>
      <c r="E11" s="29">
        <f>D11*C11</f>
        <v>45</v>
      </c>
      <c r="F11" s="71" t="s">
        <v>187</v>
      </c>
      <c r="G11" s="72">
        <v>5</v>
      </c>
      <c r="H11" s="14"/>
      <c r="I11" s="14"/>
    </row>
    <row r="12" spans="1:9">
      <c r="A12" s="34" t="s">
        <v>190</v>
      </c>
      <c r="B12" s="29" t="s">
        <v>181</v>
      </c>
      <c r="C12" s="35" t="s">
        <v>180</v>
      </c>
      <c r="D12" s="103">
        <v>60</v>
      </c>
      <c r="E12" s="29">
        <f t="shared" ref="E12:E18" si="0">D12*C12</f>
        <v>60</v>
      </c>
      <c r="F12" s="104"/>
      <c r="G12" s="105"/>
      <c r="H12" s="16"/>
      <c r="I12" s="16"/>
    </row>
    <row r="13" spans="1:9">
      <c r="A13" s="34" t="s">
        <v>76</v>
      </c>
      <c r="B13" s="29" t="s">
        <v>181</v>
      </c>
      <c r="C13" s="35" t="s">
        <v>185</v>
      </c>
      <c r="D13" s="103">
        <v>130</v>
      </c>
      <c r="E13" s="29">
        <f t="shared" si="0"/>
        <v>65</v>
      </c>
      <c r="F13" s="104"/>
      <c r="G13" s="105"/>
      <c r="H13" s="16"/>
      <c r="I13" s="16"/>
    </row>
    <row r="14" spans="1:9">
      <c r="A14" s="34" t="s">
        <v>182</v>
      </c>
      <c r="B14" s="29" t="s">
        <v>181</v>
      </c>
      <c r="C14" s="35" t="s">
        <v>183</v>
      </c>
      <c r="D14" s="103">
        <v>20</v>
      </c>
      <c r="E14" s="29">
        <f t="shared" si="0"/>
        <v>60</v>
      </c>
      <c r="F14" s="104"/>
      <c r="G14" s="105"/>
      <c r="H14" s="16"/>
      <c r="I14" s="16"/>
    </row>
    <row r="15" spans="1:9">
      <c r="A15" s="34" t="s">
        <v>53</v>
      </c>
      <c r="B15" s="29" t="s">
        <v>103</v>
      </c>
      <c r="C15" s="35" t="s">
        <v>102</v>
      </c>
      <c r="D15" s="103">
        <v>8</v>
      </c>
      <c r="E15" s="29">
        <f t="shared" si="0"/>
        <v>16</v>
      </c>
      <c r="F15" s="104"/>
      <c r="G15" s="105"/>
      <c r="H15" s="16"/>
      <c r="I15" s="16"/>
    </row>
    <row r="16" spans="1:9">
      <c r="A16" s="34" t="s">
        <v>52</v>
      </c>
      <c r="B16" s="29" t="s">
        <v>103</v>
      </c>
      <c r="C16" s="35" t="s">
        <v>102</v>
      </c>
      <c r="D16" s="103">
        <v>8</v>
      </c>
      <c r="E16" s="29">
        <f t="shared" si="0"/>
        <v>16</v>
      </c>
      <c r="F16" s="104"/>
      <c r="G16" s="105"/>
      <c r="H16" s="16"/>
      <c r="I16" s="16"/>
    </row>
    <row r="17" spans="1:12">
      <c r="A17" s="34" t="s">
        <v>51</v>
      </c>
      <c r="B17" s="29" t="s">
        <v>103</v>
      </c>
      <c r="C17" s="35" t="s">
        <v>102</v>
      </c>
      <c r="D17" s="103">
        <v>10</v>
      </c>
      <c r="E17" s="29">
        <f t="shared" si="0"/>
        <v>20</v>
      </c>
      <c r="F17" s="104"/>
      <c r="G17" s="105"/>
      <c r="H17" s="16"/>
      <c r="I17" s="16"/>
    </row>
    <row r="18" spans="1:12">
      <c r="A18" s="34" t="s">
        <v>184</v>
      </c>
      <c r="B18" s="29" t="s">
        <v>103</v>
      </c>
      <c r="C18" s="35" t="s">
        <v>102</v>
      </c>
      <c r="D18" s="103">
        <v>10</v>
      </c>
      <c r="E18" s="29">
        <f t="shared" si="0"/>
        <v>20</v>
      </c>
      <c r="F18" s="104"/>
      <c r="G18" s="105"/>
      <c r="H18" s="16"/>
      <c r="I18" s="16"/>
    </row>
    <row r="19" spans="1:12" ht="15.75">
      <c r="A19" s="80"/>
      <c r="B19" s="31"/>
      <c r="D19" s="36" t="s">
        <v>104</v>
      </c>
      <c r="E19" s="37">
        <f>SUM(E11:E18)</f>
        <v>302</v>
      </c>
      <c r="F19" s="104"/>
      <c r="G19" s="105"/>
      <c r="H19" s="16"/>
      <c r="I19" s="16"/>
      <c r="L19" s="99">
        <f>160+25+130+25+160+45+130+45+70+70</f>
        <v>860</v>
      </c>
    </row>
    <row r="20" spans="1:12" ht="15.75">
      <c r="A20" s="80"/>
      <c r="B20" s="33"/>
      <c r="D20" s="33"/>
      <c r="E20" s="38"/>
      <c r="F20" s="37"/>
      <c r="G20" s="101"/>
      <c r="H20" s="16"/>
      <c r="I20" s="16"/>
    </row>
    <row r="21" spans="1:12" ht="15.75">
      <c r="A21" s="97" t="s">
        <v>105</v>
      </c>
      <c r="B21" s="95" t="s">
        <v>92</v>
      </c>
      <c r="C21" s="98" t="s">
        <v>93</v>
      </c>
      <c r="D21" s="98" t="s">
        <v>94</v>
      </c>
      <c r="E21" s="98" t="s">
        <v>95</v>
      </c>
      <c r="F21" s="98"/>
      <c r="G21" s="98" t="s">
        <v>108</v>
      </c>
      <c r="H21" s="98" t="s">
        <v>100</v>
      </c>
      <c r="I21" s="98" t="s">
        <v>101</v>
      </c>
    </row>
    <row r="22" spans="1:12" ht="15.75">
      <c r="A22" s="176" t="s">
        <v>186</v>
      </c>
      <c r="B22" s="177" t="s">
        <v>107</v>
      </c>
      <c r="C22" s="180">
        <v>1</v>
      </c>
      <c r="D22" s="177">
        <v>50</v>
      </c>
      <c r="E22" s="178">
        <f>D22*C22</f>
        <v>50</v>
      </c>
      <c r="F22" s="24"/>
      <c r="G22" s="42"/>
      <c r="H22" s="43"/>
      <c r="I22" s="43"/>
    </row>
    <row r="23" spans="1:12" ht="15.75">
      <c r="A23" s="176" t="s">
        <v>188</v>
      </c>
      <c r="B23" s="177" t="s">
        <v>107</v>
      </c>
      <c r="C23" s="179">
        <v>0.5</v>
      </c>
      <c r="D23" s="177">
        <v>500</v>
      </c>
      <c r="E23" s="178">
        <f>D23*C23</f>
        <v>250</v>
      </c>
      <c r="F23" s="24"/>
      <c r="G23" s="42"/>
      <c r="H23" s="43"/>
      <c r="I23" s="43"/>
    </row>
    <row r="24" spans="1:12" ht="15.75">
      <c r="A24" s="26" t="s">
        <v>106</v>
      </c>
      <c r="B24" s="40" t="s">
        <v>107</v>
      </c>
      <c r="C24" s="41" t="s">
        <v>185</v>
      </c>
      <c r="D24" s="29">
        <v>500</v>
      </c>
      <c r="E24" s="178">
        <f>D24*C24</f>
        <v>250</v>
      </c>
      <c r="F24" s="39"/>
      <c r="G24" s="102"/>
      <c r="H24" s="44" t="s">
        <v>109</v>
      </c>
      <c r="I24" s="14">
        <v>3315320027</v>
      </c>
    </row>
    <row r="25" spans="1:12" ht="15.75">
      <c r="A25" s="80"/>
      <c r="B25" s="31"/>
      <c r="D25" s="25" t="s">
        <v>97</v>
      </c>
      <c r="E25" s="32">
        <f>SUM(E22:E24)</f>
        <v>550</v>
      </c>
      <c r="F25" s="32"/>
      <c r="G25" s="14"/>
      <c r="H25" s="44" t="s">
        <v>111</v>
      </c>
      <c r="I25" s="14">
        <v>3323734154</v>
      </c>
    </row>
    <row r="26" spans="1:12" ht="15.75">
      <c r="A26" s="80"/>
      <c r="B26" s="31"/>
      <c r="D26" s="33"/>
      <c r="E26" s="38"/>
      <c r="F26" s="38"/>
    </row>
    <row r="27" spans="1:12" ht="15.75">
      <c r="A27" s="95" t="s">
        <v>110</v>
      </c>
      <c r="B27" s="96"/>
      <c r="C27" s="96"/>
      <c r="D27" s="96"/>
      <c r="E27" s="96"/>
      <c r="F27" s="83"/>
    </row>
    <row r="28" spans="1:12" ht="15.75">
      <c r="A28" s="24" t="s">
        <v>91</v>
      </c>
      <c r="B28" s="25" t="s">
        <v>92</v>
      </c>
      <c r="C28" s="25" t="s">
        <v>93</v>
      </c>
      <c r="D28" s="25" t="s">
        <v>94</v>
      </c>
      <c r="E28" s="24" t="s">
        <v>95</v>
      </c>
      <c r="F28" s="66"/>
    </row>
    <row r="29" spans="1:12">
      <c r="A29" s="34" t="s">
        <v>110</v>
      </c>
      <c r="B29" s="29" t="s">
        <v>103</v>
      </c>
      <c r="C29" s="45">
        <v>0.2</v>
      </c>
      <c r="D29" s="29">
        <v>94</v>
      </c>
      <c r="E29" s="29">
        <f>D29*C29</f>
        <v>18.8</v>
      </c>
      <c r="F29" s="68"/>
      <c r="G29" s="46"/>
      <c r="H29" s="46"/>
      <c r="I29" s="46"/>
    </row>
    <row r="30" spans="1:12">
      <c r="A30" s="34" t="s">
        <v>112</v>
      </c>
      <c r="B30" s="29" t="s">
        <v>113</v>
      </c>
      <c r="C30" s="29">
        <v>2</v>
      </c>
      <c r="D30" s="29">
        <v>10</v>
      </c>
      <c r="E30" s="29">
        <f>D30*C30</f>
        <v>20</v>
      </c>
      <c r="F30" s="68"/>
      <c r="G30" s="46"/>
      <c r="H30" s="46"/>
      <c r="I30" s="46"/>
    </row>
    <row r="31" spans="1:12" ht="15.75">
      <c r="A31" s="47"/>
      <c r="B31" s="48"/>
      <c r="C31" s="49"/>
      <c r="D31" s="25" t="s">
        <v>97</v>
      </c>
      <c r="E31" s="25">
        <f>E29+E30</f>
        <v>38.799999999999997</v>
      </c>
      <c r="F31" s="33"/>
      <c r="I31" s="46"/>
    </row>
    <row r="32" spans="1:12" ht="15.75">
      <c r="A32" s="80"/>
      <c r="B32" s="31"/>
      <c r="D32" s="33"/>
      <c r="E32" s="38"/>
      <c r="F32" s="38"/>
      <c r="I32" s="46"/>
    </row>
    <row r="33" spans="1:7">
      <c r="A33" s="80"/>
      <c r="C33" s="99" t="s">
        <v>114</v>
      </c>
      <c r="G33" s="46"/>
    </row>
    <row r="34" spans="1:7">
      <c r="A34" s="80"/>
      <c r="C34" s="107" t="s">
        <v>115</v>
      </c>
      <c r="D34" s="108"/>
      <c r="E34" s="30">
        <f>E19+E25+E7+E31</f>
        <v>890.8</v>
      </c>
      <c r="F34" s="67"/>
      <c r="G34" s="46"/>
    </row>
    <row r="35" spans="1:7">
      <c r="A35" s="80"/>
      <c r="C35" s="94" t="s">
        <v>116</v>
      </c>
      <c r="D35" s="50">
        <v>0.05</v>
      </c>
      <c r="E35" s="30">
        <f>E34*D35</f>
        <v>44.54</v>
      </c>
      <c r="F35" s="67"/>
      <c r="G35" s="46"/>
    </row>
    <row r="36" spans="1:7">
      <c r="A36" s="80"/>
      <c r="C36" s="107" t="s">
        <v>117</v>
      </c>
      <c r="D36" s="108"/>
      <c r="E36" s="30">
        <f>E35+E34</f>
        <v>935.33999999999992</v>
      </c>
      <c r="F36" s="67"/>
    </row>
    <row r="37" spans="1:7">
      <c r="C37" s="94" t="s">
        <v>118</v>
      </c>
      <c r="D37" s="51">
        <v>0.1</v>
      </c>
      <c r="E37" s="30">
        <f>E34*D37</f>
        <v>89.08</v>
      </c>
      <c r="F37" s="67"/>
      <c r="G37" s="46"/>
    </row>
    <row r="38" spans="1:7">
      <c r="C38" s="107" t="s">
        <v>117</v>
      </c>
      <c r="D38" s="108"/>
      <c r="E38" s="30">
        <f>E34+E37</f>
        <v>979.88</v>
      </c>
      <c r="F38" s="67"/>
    </row>
    <row r="39" spans="1:7">
      <c r="C39" s="52" t="s">
        <v>119</v>
      </c>
      <c r="D39" s="53">
        <v>0.3</v>
      </c>
      <c r="E39" s="54">
        <f>E34*D39</f>
        <v>267.23999999999995</v>
      </c>
      <c r="F39" s="67"/>
    </row>
    <row r="40" spans="1:7">
      <c r="C40" s="107" t="s">
        <v>117</v>
      </c>
      <c r="D40" s="108"/>
      <c r="E40" s="30">
        <f>E38+E39</f>
        <v>1247.1199999999999</v>
      </c>
      <c r="F40" s="67"/>
    </row>
    <row r="41" spans="1:7">
      <c r="C41" s="34" t="s">
        <v>120</v>
      </c>
      <c r="D41" s="55">
        <v>0</v>
      </c>
      <c r="E41" s="30">
        <f>E40*D41</f>
        <v>0</v>
      </c>
      <c r="F41" s="67"/>
    </row>
    <row r="42" spans="1:7" ht="15.75">
      <c r="C42" s="109" t="s">
        <v>121</v>
      </c>
      <c r="D42" s="110"/>
      <c r="E42" s="56">
        <f>E34+E35+E37+E39</f>
        <v>1291.6599999999999</v>
      </c>
      <c r="F42" s="38"/>
    </row>
    <row r="43" spans="1:7">
      <c r="C43" s="14" t="s">
        <v>122</v>
      </c>
      <c r="D43" s="57">
        <v>0.16</v>
      </c>
      <c r="E43" s="44">
        <f>E42*D43</f>
        <v>206.66559999999998</v>
      </c>
      <c r="F43" s="69"/>
    </row>
    <row r="44" spans="1:7" ht="15.75">
      <c r="C44" s="111" t="s">
        <v>123</v>
      </c>
      <c r="D44" s="112"/>
      <c r="E44" s="58">
        <f>E42+E43</f>
        <v>1498.3255999999999</v>
      </c>
      <c r="F44" s="70"/>
    </row>
    <row r="69" spans="11:11">
      <c r="K69" s="100"/>
    </row>
  </sheetData>
  <mergeCells count="10">
    <mergeCell ref="C38:D38"/>
    <mergeCell ref="C40:D40"/>
    <mergeCell ref="C42:D42"/>
    <mergeCell ref="C44:D44"/>
    <mergeCell ref="A1:G1"/>
    <mergeCell ref="A2:G2"/>
    <mergeCell ref="A4:E4"/>
    <mergeCell ref="A9:I9"/>
    <mergeCell ref="C34:D34"/>
    <mergeCell ref="C36:D36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AGREGAR_MATERIAL">
                <anchor moveWithCells="1" sizeWithCells="1">
                  <from>
                    <xdr:col>11</xdr:col>
                    <xdr:colOff>28575</xdr:colOff>
                    <xdr:row>32</xdr:row>
                    <xdr:rowOff>28575</xdr:rowOff>
                  </from>
                  <to>
                    <xdr:col>14</xdr:col>
                    <xdr:colOff>742950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informacion_cliente">
                <anchor moveWithCells="1" sizeWithCells="1">
                  <from>
                    <xdr:col>10</xdr:col>
                    <xdr:colOff>723900</xdr:colOff>
                    <xdr:row>0</xdr:row>
                    <xdr:rowOff>180975</xdr:rowOff>
                  </from>
                  <to>
                    <xdr:col>14</xdr:col>
                    <xdr:colOff>647700</xdr:colOff>
                    <xdr:row>5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pageSetUpPr fitToPage="1"/>
  </sheetPr>
  <dimension ref="A1:N51"/>
  <sheetViews>
    <sheetView showGridLines="0" view="pageLayout" zoomScale="87" zoomScaleNormal="46" zoomScalePageLayoutView="87" workbookViewId="0">
      <selection activeCell="J51" sqref="J51"/>
    </sheetView>
  </sheetViews>
  <sheetFormatPr baseColWidth="10" defaultRowHeight="15"/>
  <cols>
    <col min="1" max="1" width="14.28515625" customWidth="1"/>
    <col min="2" max="2" width="9.140625" customWidth="1"/>
    <col min="3" max="3" width="8.42578125" customWidth="1"/>
    <col min="4" max="4" width="14.28515625" customWidth="1"/>
    <col min="5" max="5" width="2.85546875" customWidth="1"/>
    <col min="6" max="6" width="1.28515625" customWidth="1"/>
    <col min="7" max="7" width="1" customWidth="1"/>
    <col min="8" max="8" width="16.28515625" customWidth="1"/>
    <col min="9" max="9" width="7.42578125" customWidth="1"/>
    <col min="10" max="10" width="15.28515625" customWidth="1"/>
    <col min="11" max="11" width="9.7109375" customWidth="1"/>
    <col min="12" max="12" width="5.42578125" customWidth="1"/>
    <col min="13" max="13" width="3.42578125" customWidth="1"/>
    <col min="14" max="14" width="11.42578125" hidden="1" customWidth="1"/>
  </cols>
  <sheetData>
    <row r="1" spans="1:14">
      <c r="A1" s="143"/>
      <c r="B1" s="143"/>
      <c r="C1" s="143"/>
      <c r="D1" s="143"/>
      <c r="E1" s="143"/>
      <c r="F1" s="143"/>
      <c r="G1" s="143"/>
      <c r="H1" s="143"/>
      <c r="I1" s="143"/>
      <c r="J1" s="143"/>
      <c r="K1" s="143"/>
      <c r="L1" s="143"/>
      <c r="M1" s="143"/>
      <c r="N1" s="144"/>
    </row>
    <row r="2" spans="1:14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  <c r="L2" s="143"/>
      <c r="M2" s="143"/>
      <c r="N2" s="144"/>
    </row>
    <row r="3" spans="1:14">
      <c r="A3" s="143"/>
      <c r="B3" s="143"/>
      <c r="C3" s="143"/>
      <c r="D3" s="143"/>
      <c r="E3" s="143"/>
      <c r="F3" s="143"/>
      <c r="G3" s="143"/>
      <c r="H3" s="143"/>
      <c r="I3" s="143"/>
      <c r="J3" s="143"/>
      <c r="K3" s="143"/>
      <c r="L3" s="143"/>
      <c r="M3" s="143"/>
      <c r="N3" s="144"/>
    </row>
    <row r="4" spans="1:14">
      <c r="A4" s="143"/>
      <c r="B4" s="143"/>
      <c r="C4" s="143"/>
      <c r="D4" s="143"/>
      <c r="E4" s="143"/>
      <c r="F4" s="143"/>
      <c r="G4" s="143"/>
      <c r="H4" s="143"/>
      <c r="I4" s="143"/>
      <c r="J4" s="143"/>
      <c r="K4" s="143"/>
      <c r="L4" s="143"/>
      <c r="M4" s="143"/>
      <c r="N4" s="144"/>
    </row>
    <row r="5" spans="1:14">
      <c r="A5" s="143"/>
      <c r="B5" s="143"/>
      <c r="C5" s="143"/>
      <c r="D5" s="143"/>
      <c r="E5" s="143"/>
      <c r="F5" s="143"/>
      <c r="G5" s="143"/>
      <c r="H5" s="143"/>
      <c r="I5" s="143"/>
      <c r="J5" s="143"/>
      <c r="K5" s="143"/>
      <c r="L5" s="143"/>
      <c r="M5" s="143"/>
      <c r="N5" s="144"/>
    </row>
    <row r="6" spans="1:14">
      <c r="A6" s="143"/>
      <c r="B6" s="143"/>
      <c r="C6" s="143"/>
      <c r="D6" s="143"/>
      <c r="E6" s="143"/>
      <c r="F6" s="143"/>
      <c r="G6" s="143"/>
      <c r="H6" s="143"/>
      <c r="I6" s="143"/>
      <c r="J6" s="143"/>
      <c r="K6" s="143"/>
      <c r="L6" s="143"/>
      <c r="M6" s="143"/>
      <c r="N6" s="144"/>
    </row>
    <row r="7" spans="1:14">
      <c r="A7" s="145"/>
      <c r="B7" s="143"/>
      <c r="C7" s="143"/>
      <c r="D7" s="143"/>
      <c r="E7" s="143"/>
      <c r="F7" s="143"/>
      <c r="G7" s="143"/>
      <c r="H7" s="143"/>
      <c r="I7" s="143"/>
      <c r="J7" s="143"/>
      <c r="K7" s="143"/>
      <c r="L7" s="143"/>
      <c r="M7" s="143"/>
      <c r="N7" s="143"/>
    </row>
    <row r="8" spans="1:14" ht="47.25" customHeight="1">
      <c r="A8" s="145"/>
      <c r="B8" s="89" t="s">
        <v>194</v>
      </c>
      <c r="C8" s="89" t="s">
        <v>191</v>
      </c>
      <c r="D8" s="142" t="s">
        <v>192</v>
      </c>
      <c r="E8" s="142"/>
      <c r="F8" s="142"/>
      <c r="G8" s="142"/>
      <c r="H8" s="142"/>
      <c r="I8" s="85"/>
      <c r="J8" s="85"/>
      <c r="K8" s="85"/>
      <c r="M8" s="145"/>
    </row>
    <row r="9" spans="1:14">
      <c r="A9" s="145"/>
      <c r="B9" s="146" t="s">
        <v>193</v>
      </c>
      <c r="C9" s="146"/>
      <c r="D9" s="146"/>
      <c r="E9" s="146"/>
      <c r="F9" s="146"/>
      <c r="G9" s="146"/>
      <c r="H9" s="59" t="s">
        <v>171</v>
      </c>
      <c r="I9" s="139">
        <v>43775.393738425926</v>
      </c>
      <c r="J9" s="140"/>
      <c r="K9" s="141"/>
      <c r="M9" s="145"/>
    </row>
    <row r="10" spans="1:14">
      <c r="A10" s="145"/>
      <c r="M10" s="145"/>
    </row>
    <row r="11" spans="1:14">
      <c r="A11" s="145"/>
      <c r="M11" s="145"/>
    </row>
    <row r="12" spans="1:14">
      <c r="A12" s="145"/>
      <c r="B12" s="87" t="s">
        <v>124</v>
      </c>
      <c r="C12" s="90" t="s">
        <v>194</v>
      </c>
      <c r="D12" s="91" t="s">
        <v>192</v>
      </c>
      <c r="E12" s="88"/>
      <c r="F12" s="88"/>
      <c r="G12" s="88"/>
      <c r="H12" s="88"/>
      <c r="I12" s="88"/>
      <c r="J12" s="88"/>
      <c r="K12" s="88"/>
      <c r="M12" s="145"/>
    </row>
    <row r="13" spans="1:14">
      <c r="A13" s="145"/>
      <c r="B13" s="125" t="s">
        <v>172</v>
      </c>
      <c r="C13" s="125"/>
      <c r="D13" s="125"/>
      <c r="E13" s="125"/>
      <c r="F13" s="125"/>
      <c r="G13" s="125"/>
      <c r="H13" s="86" t="s">
        <v>195</v>
      </c>
      <c r="I13" s="84" t="s">
        <v>174</v>
      </c>
      <c r="J13" s="84"/>
      <c r="K13" s="84"/>
      <c r="M13" s="145"/>
    </row>
    <row r="14" spans="1:14">
      <c r="A14" s="145"/>
      <c r="M14" s="145"/>
    </row>
    <row r="15" spans="1:14" ht="18.75">
      <c r="A15" s="145"/>
      <c r="C15" s="126" t="s">
        <v>195</v>
      </c>
      <c r="D15" s="127"/>
      <c r="G15" s="80"/>
      <c r="H15" s="80"/>
      <c r="I15" s="129" t="s">
        <v>175</v>
      </c>
      <c r="J15" s="130"/>
      <c r="K15" s="131"/>
      <c r="M15" s="145"/>
    </row>
    <row r="16" spans="1:14" ht="31.5" customHeight="1">
      <c r="A16" s="145"/>
      <c r="B16" s="63" t="s">
        <v>125</v>
      </c>
      <c r="C16" s="128" t="s">
        <v>196</v>
      </c>
      <c r="D16" s="128"/>
      <c r="E16" s="128"/>
      <c r="F16" s="128"/>
      <c r="G16" s="80"/>
      <c r="H16" s="80"/>
      <c r="I16" s="132"/>
      <c r="J16" s="133"/>
      <c r="K16" s="134"/>
      <c r="M16" s="145"/>
    </row>
    <row r="17" spans="1:13">
      <c r="A17" s="145"/>
      <c r="B17" s="61" t="s">
        <v>125</v>
      </c>
      <c r="C17" t="s">
        <v>173</v>
      </c>
      <c r="D17" t="s">
        <v>197</v>
      </c>
      <c r="G17" s="80"/>
      <c r="H17" s="80"/>
      <c r="I17" s="132"/>
      <c r="J17" s="133"/>
      <c r="K17" s="134"/>
      <c r="M17" s="145"/>
    </row>
    <row r="18" spans="1:13" ht="16.5" customHeight="1">
      <c r="A18" s="145"/>
      <c r="B18" s="63" t="s">
        <v>125</v>
      </c>
      <c r="C18" s="138" t="s">
        <v>198</v>
      </c>
      <c r="D18" s="138"/>
      <c r="E18" s="138"/>
      <c r="F18" s="138"/>
      <c r="G18" s="138"/>
      <c r="H18" s="80"/>
      <c r="I18" s="132"/>
      <c r="J18" s="133"/>
      <c r="K18" s="134"/>
      <c r="M18" s="145"/>
    </row>
    <row r="19" spans="1:13">
      <c r="A19" s="145"/>
      <c r="B19" s="61" t="s">
        <v>125</v>
      </c>
      <c r="C19" s="124" t="s">
        <v>200</v>
      </c>
      <c r="D19" s="124"/>
      <c r="E19" s="124"/>
      <c r="F19" s="124"/>
      <c r="G19" s="124"/>
      <c r="H19" s="80"/>
      <c r="I19" s="132"/>
      <c r="J19" s="133"/>
      <c r="K19" s="134"/>
      <c r="M19" s="145"/>
    </row>
    <row r="20" spans="1:13">
      <c r="A20" s="145"/>
      <c r="B20" s="61" t="s">
        <v>125</v>
      </c>
      <c r="C20" s="124" t="s">
        <v>199</v>
      </c>
      <c r="D20" s="124"/>
      <c r="E20" s="124"/>
      <c r="F20" s="124"/>
      <c r="G20" s="124"/>
      <c r="H20" s="80"/>
      <c r="I20" s="135"/>
      <c r="J20" s="136"/>
      <c r="K20" s="137"/>
      <c r="M20" s="145"/>
    </row>
    <row r="21" spans="1:13">
      <c r="A21" s="145"/>
      <c r="B21" s="61" t="s">
        <v>125</v>
      </c>
      <c r="C21" s="124"/>
      <c r="D21" s="124"/>
      <c r="E21" s="124"/>
      <c r="F21" s="124"/>
      <c r="G21" s="124"/>
      <c r="H21" s="80"/>
      <c r="I21" s="82"/>
      <c r="J21" s="82"/>
      <c r="K21" s="82"/>
      <c r="M21" s="145"/>
    </row>
    <row r="22" spans="1:13">
      <c r="A22" s="145"/>
      <c r="B22" s="60"/>
      <c r="M22" s="145"/>
    </row>
    <row r="23" spans="1:13">
      <c r="A23" s="145"/>
      <c r="B23" s="62" t="s">
        <v>126</v>
      </c>
      <c r="C23" s="147" t="s">
        <v>127</v>
      </c>
      <c r="D23" s="148"/>
      <c r="E23" s="148"/>
      <c r="F23" s="149"/>
      <c r="G23" s="147" t="s">
        <v>129</v>
      </c>
      <c r="H23" s="149"/>
      <c r="I23" s="148" t="s">
        <v>128</v>
      </c>
      <c r="J23" s="148"/>
      <c r="K23" s="149"/>
      <c r="M23" s="145"/>
    </row>
    <row r="24" spans="1:13" ht="15" customHeight="1">
      <c r="A24" s="145"/>
      <c r="B24" s="121">
        <v>1</v>
      </c>
      <c r="C24" s="158" t="s">
        <v>196</v>
      </c>
      <c r="D24" s="159"/>
      <c r="E24" s="159"/>
      <c r="F24" s="160"/>
      <c r="G24" s="150" t="s">
        <v>130</v>
      </c>
      <c r="H24" s="149"/>
      <c r="I24" s="150" t="s">
        <v>130</v>
      </c>
      <c r="J24" s="151"/>
      <c r="K24" s="152"/>
      <c r="M24" s="145"/>
    </row>
    <row r="25" spans="1:13" ht="15" customHeight="1">
      <c r="A25" s="145"/>
      <c r="B25" s="122"/>
      <c r="C25" s="161"/>
      <c r="D25" s="162"/>
      <c r="E25" s="162"/>
      <c r="F25" s="163"/>
      <c r="G25" s="157" t="s">
        <v>131</v>
      </c>
      <c r="H25" s="149"/>
      <c r="I25" s="150" t="s">
        <v>134</v>
      </c>
      <c r="J25" s="151"/>
      <c r="K25" s="152"/>
      <c r="M25" s="145"/>
    </row>
    <row r="26" spans="1:13">
      <c r="A26" s="145"/>
      <c r="B26" s="123"/>
      <c r="C26" s="164"/>
      <c r="D26" s="165"/>
      <c r="E26" s="165"/>
      <c r="F26" s="166"/>
      <c r="G26" s="157" t="s">
        <v>132</v>
      </c>
      <c r="H26" s="149"/>
      <c r="I26" s="153" t="s">
        <v>135</v>
      </c>
      <c r="J26" s="154"/>
      <c r="K26" s="155"/>
      <c r="M26" s="145"/>
    </row>
    <row r="27" spans="1:13">
      <c r="A27" s="145"/>
      <c r="G27" s="147" t="s">
        <v>133</v>
      </c>
      <c r="H27" s="149"/>
      <c r="I27" s="173" t="s">
        <v>136</v>
      </c>
      <c r="J27" s="174"/>
      <c r="K27" s="175"/>
      <c r="M27" s="145"/>
    </row>
    <row r="28" spans="1:13">
      <c r="A28" s="145"/>
      <c r="M28" s="145"/>
    </row>
    <row r="29" spans="1:13">
      <c r="A29" s="145"/>
      <c r="M29" s="145"/>
    </row>
    <row r="30" spans="1:13">
      <c r="A30" s="145"/>
      <c r="M30" s="145"/>
    </row>
    <row r="31" spans="1:13" ht="18.75" customHeight="1">
      <c r="A31" s="145"/>
      <c r="M31" s="145"/>
    </row>
    <row r="32" spans="1:13">
      <c r="A32" s="145"/>
      <c r="C32" s="156" t="s">
        <v>137</v>
      </c>
      <c r="D32" s="156"/>
      <c r="E32" s="156"/>
      <c r="F32" s="156"/>
      <c r="G32" s="156"/>
      <c r="H32" s="156"/>
      <c r="I32" s="156"/>
      <c r="J32" s="156"/>
      <c r="M32" s="145"/>
    </row>
    <row r="33" spans="1:13">
      <c r="A33" s="145"/>
      <c r="C33" s="156" t="s">
        <v>138</v>
      </c>
      <c r="D33" s="156"/>
      <c r="E33" s="156"/>
      <c r="F33" s="156"/>
      <c r="G33" s="156"/>
      <c r="H33" s="156"/>
      <c r="I33" s="156"/>
      <c r="J33" s="156"/>
      <c r="M33" s="145"/>
    </row>
    <row r="34" spans="1:13">
      <c r="A34" s="145"/>
      <c r="C34" s="156" t="s">
        <v>139</v>
      </c>
      <c r="D34" s="156"/>
      <c r="E34" s="156"/>
      <c r="F34" s="156"/>
      <c r="G34" s="156"/>
      <c r="H34" s="156"/>
      <c r="I34" s="156"/>
      <c r="J34" s="156"/>
      <c r="M34" s="145"/>
    </row>
    <row r="35" spans="1:13">
      <c r="A35" s="145"/>
      <c r="M35" s="145"/>
    </row>
    <row r="36" spans="1:13">
      <c r="A36" s="145"/>
      <c r="M36" s="145"/>
    </row>
    <row r="37" spans="1:13">
      <c r="A37" s="145"/>
      <c r="C37" t="s">
        <v>140</v>
      </c>
      <c r="M37" s="145"/>
    </row>
    <row r="38" spans="1:13">
      <c r="A38" s="145"/>
      <c r="C38" s="167"/>
      <c r="D38" s="167"/>
      <c r="E38" s="167"/>
      <c r="F38" s="167"/>
      <c r="G38" s="167"/>
      <c r="H38" s="167"/>
      <c r="I38" s="167"/>
      <c r="J38" s="167"/>
      <c r="K38" s="167"/>
      <c r="M38" s="145"/>
    </row>
    <row r="39" spans="1:13">
      <c r="A39" s="145"/>
      <c r="C39" s="167"/>
      <c r="D39" s="167"/>
      <c r="E39" s="167"/>
      <c r="F39" s="167"/>
      <c r="G39" s="167"/>
      <c r="H39" s="167"/>
      <c r="I39" s="167"/>
      <c r="J39" s="167"/>
      <c r="K39" s="167"/>
    </row>
    <row r="40" spans="1:13">
      <c r="C40" s="167"/>
      <c r="D40" s="167"/>
      <c r="E40" s="167"/>
      <c r="F40" s="167"/>
      <c r="G40" s="167"/>
      <c r="H40" s="167"/>
      <c r="I40" s="167"/>
      <c r="J40" s="167"/>
      <c r="K40" s="167"/>
    </row>
    <row r="41" spans="1:13">
      <c r="C41" s="168"/>
      <c r="D41" s="168"/>
      <c r="E41" s="168"/>
      <c r="F41" s="168"/>
      <c r="G41" s="168"/>
      <c r="H41" s="168"/>
      <c r="I41" s="168"/>
      <c r="J41" s="168"/>
      <c r="K41" s="168"/>
    </row>
    <row r="42" spans="1:13">
      <c r="C42" s="172" t="s">
        <v>141</v>
      </c>
      <c r="D42" s="172"/>
      <c r="E42" s="172"/>
      <c r="F42" s="172"/>
      <c r="G42" s="172"/>
      <c r="H42" s="172"/>
      <c r="I42" s="172"/>
      <c r="J42" s="172"/>
      <c r="K42" s="172"/>
    </row>
    <row r="43" spans="1:13" ht="78" customHeight="1">
      <c r="A43" s="64"/>
      <c r="B43" s="15"/>
      <c r="C43" s="15"/>
      <c r="D43" s="15"/>
      <c r="E43" s="15"/>
      <c r="F43" s="64"/>
      <c r="G43" s="15"/>
      <c r="H43" s="15"/>
      <c r="I43" s="15"/>
      <c r="J43" s="64"/>
      <c r="K43" s="15"/>
      <c r="L43" s="15"/>
    </row>
    <row r="44" spans="1:13" ht="5.25" customHeight="1">
      <c r="B44" s="65"/>
      <c r="C44" s="65"/>
      <c r="D44" s="65"/>
      <c r="E44" s="65"/>
      <c r="G44" s="65"/>
      <c r="H44" s="65"/>
      <c r="I44" s="65"/>
      <c r="J44" s="15"/>
      <c r="K44" s="65"/>
      <c r="L44" s="65"/>
    </row>
    <row r="45" spans="1:13" ht="1.5" customHeight="1">
      <c r="B45" s="15"/>
      <c r="C45" s="15"/>
      <c r="D45" s="15"/>
      <c r="E45" s="15"/>
      <c r="G45" s="15"/>
      <c r="H45" s="15"/>
      <c r="I45" s="15"/>
      <c r="J45" s="15"/>
      <c r="K45" s="15"/>
      <c r="L45" s="15"/>
    </row>
    <row r="46" spans="1:13" ht="6.75" customHeight="1">
      <c r="B46" s="15"/>
      <c r="C46" s="15"/>
      <c r="D46" s="15"/>
      <c r="E46" s="15"/>
      <c r="G46" s="15"/>
      <c r="H46" s="15"/>
      <c r="I46" s="15"/>
      <c r="J46" s="15"/>
      <c r="K46" s="15"/>
      <c r="L46" s="15"/>
    </row>
    <row r="47" spans="1:13">
      <c r="C47" s="169" t="s">
        <v>179</v>
      </c>
      <c r="D47" s="169"/>
      <c r="E47" s="169"/>
      <c r="F47" s="169"/>
      <c r="G47" s="169"/>
      <c r="H47" s="169"/>
      <c r="I47" s="169"/>
    </row>
    <row r="48" spans="1:13">
      <c r="C48" s="169" t="s">
        <v>178</v>
      </c>
      <c r="D48" s="169"/>
      <c r="E48" s="169"/>
      <c r="F48" s="169"/>
      <c r="G48" s="169"/>
      <c r="H48" s="169"/>
      <c r="I48" s="169"/>
    </row>
    <row r="49" spans="3:11">
      <c r="C49" s="169">
        <v>3335560639</v>
      </c>
      <c r="D49" s="169"/>
      <c r="E49" s="169"/>
      <c r="F49" s="169"/>
      <c r="G49" s="169"/>
      <c r="H49" s="169"/>
      <c r="I49" s="169"/>
    </row>
    <row r="50" spans="3:11">
      <c r="C50" s="171" t="s">
        <v>177</v>
      </c>
      <c r="D50" s="171"/>
      <c r="E50" s="171"/>
      <c r="F50" s="171"/>
      <c r="G50" s="171"/>
      <c r="H50" s="171"/>
      <c r="I50" s="171"/>
      <c r="J50" s="171"/>
      <c r="K50" s="92"/>
    </row>
    <row r="51" spans="3:11">
      <c r="C51" s="170" t="s">
        <v>176</v>
      </c>
      <c r="D51" s="169"/>
      <c r="E51" s="169"/>
      <c r="F51" s="169"/>
      <c r="G51" s="169"/>
      <c r="H51" s="169"/>
      <c r="I51" s="169"/>
    </row>
  </sheetData>
  <mergeCells count="38">
    <mergeCell ref="G27:H27"/>
    <mergeCell ref="I27:K27"/>
    <mergeCell ref="C47:I47"/>
    <mergeCell ref="C48:I48"/>
    <mergeCell ref="C33:J33"/>
    <mergeCell ref="C34:J34"/>
    <mergeCell ref="C38:K41"/>
    <mergeCell ref="C49:I49"/>
    <mergeCell ref="C51:I51"/>
    <mergeCell ref="C50:J50"/>
    <mergeCell ref="C42:K42"/>
    <mergeCell ref="D8:H8"/>
    <mergeCell ref="A1:N6"/>
    <mergeCell ref="A7:A39"/>
    <mergeCell ref="B7:N7"/>
    <mergeCell ref="B9:G9"/>
    <mergeCell ref="M8:M38"/>
    <mergeCell ref="C23:F23"/>
    <mergeCell ref="G23:H23"/>
    <mergeCell ref="I25:K25"/>
    <mergeCell ref="I26:K26"/>
    <mergeCell ref="C32:J32"/>
    <mergeCell ref="I23:K23"/>
    <mergeCell ref="G24:H24"/>
    <mergeCell ref="I24:K24"/>
    <mergeCell ref="G25:H25"/>
    <mergeCell ref="G26:H26"/>
    <mergeCell ref="I15:K20"/>
    <mergeCell ref="C18:G18"/>
    <mergeCell ref="C19:G19"/>
    <mergeCell ref="C20:G20"/>
    <mergeCell ref="I9:K9"/>
    <mergeCell ref="B24:B26"/>
    <mergeCell ref="C21:G21"/>
    <mergeCell ref="B13:G13"/>
    <mergeCell ref="C15:D15"/>
    <mergeCell ref="C16:F16"/>
    <mergeCell ref="C24:F26"/>
  </mergeCells>
  <hyperlinks>
    <hyperlink ref="C51" r:id="rId1" display="heriberto.gtzv@gmil.com"/>
  </hyperlinks>
  <pageMargins left="0.19685039370078741" right="0.19685039370078741" top="0.19685039370078741" bottom="0.19685039370078741" header="0.31496062992125984" footer="0.31496062992125984"/>
  <pageSetup scale="92" orientation="portrait" r:id="rId2"/>
  <headerFooter>
    <oddHeader xml:space="preserve">&amp;C
&amp;G
</oddHeader>
  </headerFooter>
  <drawing r:id="rId3"/>
  <legacyDrawingHF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 DE PRECIOS </vt:lpstr>
      <vt:lpstr>CABECERA</vt:lpstr>
      <vt:lpstr>COTIZACIÓN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Usuario</cp:lastModifiedBy>
  <cp:lastPrinted>2019-04-30T17:50:39Z</cp:lastPrinted>
  <dcterms:created xsi:type="dcterms:W3CDTF">2019-04-30T13:43:09Z</dcterms:created>
  <dcterms:modified xsi:type="dcterms:W3CDTF">2019-11-06T17:18:06Z</dcterms:modified>
</cp:coreProperties>
</file>